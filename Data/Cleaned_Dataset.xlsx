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LuxDev\Jumia-Project\Data\"/>
    </mc:Choice>
  </mc:AlternateContent>
  <xr:revisionPtr revIDLastSave="0" documentId="13_ncr:1_{E538815C-3217-4845-84B6-217C5D5CB130}" xr6:coauthVersionLast="47" xr6:coauthVersionMax="47" xr10:uidLastSave="{00000000-0000-0000-0000-000000000000}"/>
  <bookViews>
    <workbookView xWindow="1530" yWindow="0" windowWidth="18960" windowHeight="10905" xr2:uid="{F724BAED-E21B-4959-AB5C-7DEDF7868D06}"/>
  </bookViews>
  <sheets>
    <sheet name="Dashboard" sheetId="11" r:id="rId1"/>
    <sheet name="Excel_jumia_dataset" sheetId="1" r:id="rId2"/>
    <sheet name="Prct Rating" sheetId="2" r:id="rId3"/>
    <sheet name="Prct Review" sheetId="3" r:id="rId4"/>
    <sheet name="Prct Disc" sheetId="4" r:id="rId5"/>
    <sheet name="Rating Cat" sheetId="5" r:id="rId6"/>
    <sheet name="Pdrct Disc" sheetId="10" r:id="rId7"/>
    <sheet name="Prod Type" sheetId="19" r:id="rId8"/>
  </sheets>
  <definedNames>
    <definedName name="_xlnm._FilterDatabase" localSheetId="1" hidden="1">Excel_jumia_dataset!$A$1:$M$110</definedName>
    <definedName name="_xlcn.WorksheetConnection_Excel_jumia_datasetA1M1101" hidden="1">Excel_jumia_dataset!$A$1:$N$110</definedName>
    <definedName name="Slicer_Discount_Category">#N/A</definedName>
    <definedName name="Slicer_Product_Type">#N/A</definedName>
    <definedName name="Slicer_Rating">#N/A</definedName>
  </definedNames>
  <calcPr calcId="191029"/>
  <pivotCaches>
    <pivotCache cacheId="0" r:id="rId9"/>
    <pivotCache cacheId="13" r:id="rId10"/>
    <pivotCache cacheId="16" r:id="rId11"/>
  </pivotCaches>
  <extLst>
    <ext xmlns:x14="http://schemas.microsoft.com/office/spreadsheetml/2009/9/main" uri="{876F7934-8845-4945-9796-88D515C7AA90}">
      <x14:pivotCaches>
        <pivotCache cacheId="3" r:id="rId12"/>
        <pivotCache cacheId="4"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xcel_jumia_dataset!$A$1:$M$1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2" i="1"/>
  <c r="K3" i="1"/>
  <c r="K4" i="1"/>
  <c r="K111" i="1" s="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2" i="1"/>
  <c r="A111" i="1"/>
  <c r="H111" i="1"/>
  <c r="D40" i="1"/>
  <c r="N3" i="1"/>
  <c r="N7" i="1"/>
  <c r="N11" i="1"/>
  <c r="N15" i="1"/>
  <c r="N19" i="1"/>
  <c r="N23" i="1"/>
  <c r="N27" i="1"/>
  <c r="N31" i="1"/>
  <c r="N35" i="1"/>
  <c r="N39" i="1"/>
  <c r="N43" i="1"/>
  <c r="N47" i="1"/>
  <c r="N51" i="1"/>
  <c r="N55" i="1"/>
  <c r="N59" i="1"/>
  <c r="N63" i="1"/>
  <c r="N67" i="1"/>
  <c r="N71" i="1"/>
  <c r="N75" i="1"/>
  <c r="N79" i="1"/>
  <c r="N83" i="1"/>
  <c r="N87" i="1"/>
  <c r="N91" i="1"/>
  <c r="N95" i="1"/>
  <c r="N99" i="1"/>
  <c r="N103" i="1"/>
  <c r="N107" i="1"/>
  <c r="N2" i="1"/>
  <c r="M3" i="1"/>
  <c r="M4" i="1"/>
  <c r="N4" i="1" s="1"/>
  <c r="M5" i="1"/>
  <c r="N5" i="1" s="1"/>
  <c r="M6" i="1"/>
  <c r="N6" i="1" s="1"/>
  <c r="M7" i="1"/>
  <c r="M8" i="1"/>
  <c r="N8" i="1" s="1"/>
  <c r="M9" i="1"/>
  <c r="N9" i="1" s="1"/>
  <c r="M10" i="1"/>
  <c r="N10" i="1" s="1"/>
  <c r="M11" i="1"/>
  <c r="M12" i="1"/>
  <c r="N12" i="1" s="1"/>
  <c r="M13" i="1"/>
  <c r="N13" i="1" s="1"/>
  <c r="M14" i="1"/>
  <c r="N14" i="1" s="1"/>
  <c r="M15" i="1"/>
  <c r="M16" i="1"/>
  <c r="N16" i="1" s="1"/>
  <c r="M17" i="1"/>
  <c r="N17" i="1" s="1"/>
  <c r="M18" i="1"/>
  <c r="N18" i="1" s="1"/>
  <c r="M19" i="1"/>
  <c r="M20" i="1"/>
  <c r="N20" i="1" s="1"/>
  <c r="M21" i="1"/>
  <c r="N21" i="1" s="1"/>
  <c r="M22" i="1"/>
  <c r="N22" i="1" s="1"/>
  <c r="M23" i="1"/>
  <c r="M24" i="1"/>
  <c r="N24" i="1" s="1"/>
  <c r="M25" i="1"/>
  <c r="N25" i="1" s="1"/>
  <c r="M26" i="1"/>
  <c r="N26" i="1" s="1"/>
  <c r="M27" i="1"/>
  <c r="M28" i="1"/>
  <c r="N28" i="1" s="1"/>
  <c r="M29" i="1"/>
  <c r="N29" i="1" s="1"/>
  <c r="M30" i="1"/>
  <c r="N30" i="1" s="1"/>
  <c r="M31" i="1"/>
  <c r="M32" i="1"/>
  <c r="N32" i="1" s="1"/>
  <c r="M33" i="1"/>
  <c r="N33" i="1" s="1"/>
  <c r="M34" i="1"/>
  <c r="N34" i="1" s="1"/>
  <c r="M35" i="1"/>
  <c r="M36" i="1"/>
  <c r="N36" i="1" s="1"/>
  <c r="M37" i="1"/>
  <c r="N37" i="1" s="1"/>
  <c r="M38" i="1"/>
  <c r="N38" i="1" s="1"/>
  <c r="M39" i="1"/>
  <c r="M40" i="1"/>
  <c r="N40" i="1" s="1"/>
  <c r="M41" i="1"/>
  <c r="N41" i="1" s="1"/>
  <c r="M42" i="1"/>
  <c r="N42" i="1" s="1"/>
  <c r="M43" i="1"/>
  <c r="M44" i="1"/>
  <c r="N44" i="1" s="1"/>
  <c r="M45" i="1"/>
  <c r="N45" i="1" s="1"/>
  <c r="M46" i="1"/>
  <c r="N46" i="1" s="1"/>
  <c r="M47" i="1"/>
  <c r="M48" i="1"/>
  <c r="N48" i="1" s="1"/>
  <c r="M49" i="1"/>
  <c r="N49" i="1" s="1"/>
  <c r="M50" i="1"/>
  <c r="N50" i="1" s="1"/>
  <c r="M51" i="1"/>
  <c r="M52" i="1"/>
  <c r="N52" i="1" s="1"/>
  <c r="M53" i="1"/>
  <c r="N53" i="1" s="1"/>
  <c r="M54" i="1"/>
  <c r="N54" i="1" s="1"/>
  <c r="M55" i="1"/>
  <c r="M56" i="1"/>
  <c r="N56" i="1" s="1"/>
  <c r="M57" i="1"/>
  <c r="N57" i="1" s="1"/>
  <c r="M58" i="1"/>
  <c r="N58" i="1" s="1"/>
  <c r="M59" i="1"/>
  <c r="M60" i="1"/>
  <c r="N60" i="1" s="1"/>
  <c r="M61" i="1"/>
  <c r="N61" i="1" s="1"/>
  <c r="M62" i="1"/>
  <c r="N62" i="1" s="1"/>
  <c r="M63" i="1"/>
  <c r="M64" i="1"/>
  <c r="N64" i="1" s="1"/>
  <c r="M65" i="1"/>
  <c r="N65" i="1" s="1"/>
  <c r="M66" i="1"/>
  <c r="N66" i="1" s="1"/>
  <c r="M67" i="1"/>
  <c r="M68" i="1"/>
  <c r="N68" i="1" s="1"/>
  <c r="M69" i="1"/>
  <c r="N69" i="1" s="1"/>
  <c r="M70" i="1"/>
  <c r="N70" i="1" s="1"/>
  <c r="M71" i="1"/>
  <c r="M72" i="1"/>
  <c r="N72" i="1" s="1"/>
  <c r="M73" i="1"/>
  <c r="N73" i="1" s="1"/>
  <c r="M74" i="1"/>
  <c r="N74" i="1" s="1"/>
  <c r="M75" i="1"/>
  <c r="M76" i="1"/>
  <c r="N76" i="1" s="1"/>
  <c r="M77" i="1"/>
  <c r="N77" i="1" s="1"/>
  <c r="M78" i="1"/>
  <c r="N78" i="1" s="1"/>
  <c r="M79" i="1"/>
  <c r="M80" i="1"/>
  <c r="N80" i="1" s="1"/>
  <c r="M81" i="1"/>
  <c r="N81" i="1" s="1"/>
  <c r="M82" i="1"/>
  <c r="N82" i="1" s="1"/>
  <c r="M83" i="1"/>
  <c r="M84" i="1"/>
  <c r="N84" i="1" s="1"/>
  <c r="M85" i="1"/>
  <c r="N85" i="1" s="1"/>
  <c r="M86" i="1"/>
  <c r="N86" i="1" s="1"/>
  <c r="M87" i="1"/>
  <c r="M88" i="1"/>
  <c r="N88" i="1" s="1"/>
  <c r="M89" i="1"/>
  <c r="N89" i="1" s="1"/>
  <c r="M90" i="1"/>
  <c r="N90" i="1" s="1"/>
  <c r="M91" i="1"/>
  <c r="M92" i="1"/>
  <c r="N92" i="1" s="1"/>
  <c r="M93" i="1"/>
  <c r="N93" i="1" s="1"/>
  <c r="M94" i="1"/>
  <c r="N94" i="1" s="1"/>
  <c r="M95" i="1"/>
  <c r="M96" i="1"/>
  <c r="N96" i="1" s="1"/>
  <c r="M97" i="1"/>
  <c r="N97" i="1" s="1"/>
  <c r="M98" i="1"/>
  <c r="N98" i="1" s="1"/>
  <c r="M99" i="1"/>
  <c r="M100" i="1"/>
  <c r="N100" i="1" s="1"/>
  <c r="M101" i="1"/>
  <c r="N101" i="1" s="1"/>
  <c r="M102" i="1"/>
  <c r="N102" i="1" s="1"/>
  <c r="M103" i="1"/>
  <c r="M104" i="1"/>
  <c r="N104" i="1" s="1"/>
  <c r="M105" i="1"/>
  <c r="N105" i="1" s="1"/>
  <c r="M106" i="1"/>
  <c r="N106" i="1" s="1"/>
  <c r="M107" i="1"/>
  <c r="M108" i="1"/>
  <c r="N108" i="1" s="1"/>
  <c r="M109" i="1"/>
  <c r="N109" i="1" s="1"/>
  <c r="M110" i="1"/>
  <c r="N110" i="1" s="1"/>
  <c r="M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G44" i="1" s="1"/>
  <c r="F45" i="1"/>
  <c r="F46" i="1"/>
  <c r="F47" i="1"/>
  <c r="F48" i="1"/>
  <c r="G48" i="1" s="1"/>
  <c r="F49" i="1"/>
  <c r="F50" i="1"/>
  <c r="F51" i="1"/>
  <c r="F52" i="1"/>
  <c r="G52" i="1" s="1"/>
  <c r="F53" i="1"/>
  <c r="F54" i="1"/>
  <c r="F55" i="1"/>
  <c r="F56" i="1"/>
  <c r="G56" i="1" s="1"/>
  <c r="F57" i="1"/>
  <c r="F58" i="1"/>
  <c r="F59" i="1"/>
  <c r="F60" i="1"/>
  <c r="G60" i="1" s="1"/>
  <c r="F61" i="1"/>
  <c r="G61" i="1" s="1"/>
  <c r="F62" i="1"/>
  <c r="F63" i="1"/>
  <c r="F64" i="1"/>
  <c r="G64" i="1" s="1"/>
  <c r="F65" i="1"/>
  <c r="G65" i="1" s="1"/>
  <c r="F66" i="1"/>
  <c r="F67" i="1"/>
  <c r="F68" i="1"/>
  <c r="G68" i="1" s="1"/>
  <c r="F69" i="1"/>
  <c r="G69" i="1" s="1"/>
  <c r="F70" i="1"/>
  <c r="F71" i="1"/>
  <c r="F72" i="1"/>
  <c r="G72" i="1" s="1"/>
  <c r="F73" i="1"/>
  <c r="F74" i="1"/>
  <c r="F75" i="1"/>
  <c r="F76" i="1"/>
  <c r="G76" i="1" s="1"/>
  <c r="F77" i="1"/>
  <c r="G77" i="1" s="1"/>
  <c r="F78" i="1"/>
  <c r="F79" i="1"/>
  <c r="F80" i="1"/>
  <c r="G80" i="1" s="1"/>
  <c r="F81" i="1"/>
  <c r="G81" i="1" s="1"/>
  <c r="F82" i="1"/>
  <c r="F83" i="1"/>
  <c r="F84" i="1"/>
  <c r="G84" i="1" s="1"/>
  <c r="F85" i="1"/>
  <c r="G85" i="1" s="1"/>
  <c r="F86" i="1"/>
  <c r="F87" i="1"/>
  <c r="F88" i="1"/>
  <c r="G88" i="1" s="1"/>
  <c r="F89" i="1"/>
  <c r="F90" i="1"/>
  <c r="F91" i="1"/>
  <c r="F92" i="1"/>
  <c r="G92" i="1" s="1"/>
  <c r="F93" i="1"/>
  <c r="G93" i="1" s="1"/>
  <c r="F94" i="1"/>
  <c r="F95" i="1"/>
  <c r="F96" i="1"/>
  <c r="G96" i="1" s="1"/>
  <c r="F97" i="1"/>
  <c r="G97" i="1" s="1"/>
  <c r="F98" i="1"/>
  <c r="F99" i="1"/>
  <c r="F100" i="1"/>
  <c r="G100" i="1" s="1"/>
  <c r="F101" i="1"/>
  <c r="G101" i="1" s="1"/>
  <c r="F102" i="1"/>
  <c r="F103" i="1"/>
  <c r="F104" i="1"/>
  <c r="G104" i="1" s="1"/>
  <c r="F105" i="1"/>
  <c r="F106" i="1"/>
  <c r="F107" i="1"/>
  <c r="F108" i="1"/>
  <c r="G108" i="1" s="1"/>
  <c r="F109" i="1"/>
  <c r="G109" i="1" s="1"/>
  <c r="F110" i="1"/>
  <c r="F2" i="1"/>
  <c r="D57" i="1"/>
  <c r="G57" i="1" s="1"/>
  <c r="D58" i="1"/>
  <c r="D59" i="1"/>
  <c r="D60" i="1"/>
  <c r="D61" i="1"/>
  <c r="D62" i="1"/>
  <c r="D63" i="1"/>
  <c r="D64" i="1"/>
  <c r="D65" i="1"/>
  <c r="D66" i="1"/>
  <c r="D67" i="1"/>
  <c r="D68" i="1"/>
  <c r="D69" i="1"/>
  <c r="D70" i="1"/>
  <c r="D71" i="1"/>
  <c r="D72" i="1"/>
  <c r="D73" i="1"/>
  <c r="G73" i="1" s="1"/>
  <c r="D74" i="1"/>
  <c r="D75" i="1"/>
  <c r="D76" i="1"/>
  <c r="D77" i="1"/>
  <c r="D78" i="1"/>
  <c r="D79" i="1"/>
  <c r="D80" i="1"/>
  <c r="D81" i="1"/>
  <c r="D82" i="1"/>
  <c r="D83" i="1"/>
  <c r="D84" i="1"/>
  <c r="D85" i="1"/>
  <c r="D86" i="1"/>
  <c r="D87" i="1"/>
  <c r="D88" i="1"/>
  <c r="D89" i="1"/>
  <c r="G89" i="1" s="1"/>
  <c r="D90" i="1"/>
  <c r="D91" i="1"/>
  <c r="D92" i="1"/>
  <c r="D93" i="1"/>
  <c r="D94" i="1"/>
  <c r="D95" i="1"/>
  <c r="D96" i="1"/>
  <c r="D97" i="1"/>
  <c r="D98" i="1"/>
  <c r="D99" i="1"/>
  <c r="D100" i="1"/>
  <c r="D101" i="1"/>
  <c r="D102" i="1"/>
  <c r="D103" i="1"/>
  <c r="D104" i="1"/>
  <c r="D105" i="1"/>
  <c r="G105" i="1" s="1"/>
  <c r="D106" i="1"/>
  <c r="D107" i="1"/>
  <c r="D108" i="1"/>
  <c r="D109" i="1"/>
  <c r="D110"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1" i="1"/>
  <c r="D42" i="1"/>
  <c r="D43" i="1"/>
  <c r="D44" i="1"/>
  <c r="D45" i="1"/>
  <c r="D46" i="1"/>
  <c r="D47" i="1"/>
  <c r="D48" i="1"/>
  <c r="D49" i="1"/>
  <c r="D50" i="1"/>
  <c r="D51" i="1"/>
  <c r="D52" i="1"/>
  <c r="D53" i="1"/>
  <c r="D54" i="1"/>
  <c r="D55" i="1"/>
  <c r="D56" i="1"/>
  <c r="D2" i="1"/>
  <c r="G110" i="1" l="1"/>
  <c r="G106" i="1"/>
  <c r="G102" i="1"/>
  <c r="G98" i="1"/>
  <c r="G94" i="1"/>
  <c r="G90" i="1"/>
  <c r="G86" i="1"/>
  <c r="G82" i="1"/>
  <c r="G78" i="1"/>
  <c r="G74" i="1"/>
  <c r="G70" i="1"/>
  <c r="G66" i="1"/>
  <c r="G62" i="1"/>
  <c r="G58" i="1"/>
  <c r="G54" i="1"/>
  <c r="G50" i="1"/>
  <c r="G46" i="1"/>
  <c r="G42" i="1"/>
  <c r="G38" i="1"/>
  <c r="G34" i="1"/>
  <c r="G30" i="1"/>
  <c r="G26" i="1"/>
  <c r="G22" i="1"/>
  <c r="G18" i="1"/>
  <c r="G14" i="1"/>
  <c r="G10" i="1"/>
  <c r="G6" i="1"/>
  <c r="G37" i="1"/>
  <c r="G33" i="1"/>
  <c r="G29" i="1"/>
  <c r="G25" i="1"/>
  <c r="G21" i="1"/>
  <c r="G17" i="1"/>
  <c r="G13" i="1"/>
  <c r="G9" i="1"/>
  <c r="G5" i="1"/>
  <c r="D111" i="1"/>
  <c r="G53" i="1"/>
  <c r="G49" i="1"/>
  <c r="G45" i="1"/>
  <c r="G41" i="1"/>
  <c r="G36" i="1"/>
  <c r="G32" i="1"/>
  <c r="G28" i="1"/>
  <c r="G24" i="1"/>
  <c r="G20" i="1"/>
  <c r="G16" i="1"/>
  <c r="G12" i="1"/>
  <c r="G8" i="1"/>
  <c r="G4" i="1"/>
  <c r="G2" i="1"/>
  <c r="G107" i="1"/>
  <c r="G103" i="1"/>
  <c r="G99" i="1"/>
  <c r="G95" i="1"/>
  <c r="G91" i="1"/>
  <c r="G87" i="1"/>
  <c r="G83" i="1"/>
  <c r="G79" i="1"/>
  <c r="G75" i="1"/>
  <c r="G71" i="1"/>
  <c r="G67" i="1"/>
  <c r="G63" i="1"/>
  <c r="G59" i="1"/>
  <c r="G55" i="1"/>
  <c r="G51" i="1"/>
  <c r="G47" i="1"/>
  <c r="G43" i="1"/>
  <c r="G39" i="1"/>
  <c r="G35" i="1"/>
  <c r="G31" i="1"/>
  <c r="G27" i="1"/>
  <c r="G23" i="1"/>
  <c r="G19" i="1"/>
  <c r="G15" i="1"/>
  <c r="G11" i="1"/>
  <c r="G7" i="1"/>
  <c r="G3" i="1"/>
  <c r="M111" i="1"/>
  <c r="N111" i="1" s="1"/>
  <c r="F111" i="1"/>
  <c r="G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433299-5638-4106-98B2-0727FC5463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E3001D3-86B0-493A-95E7-51BE1A00337D}" name="WorksheetConnection_Excel_jumia_dataset!$A$1:$M$110" type="102" refreshedVersion="8" minRefreshableVersion="5">
    <extLst>
      <ext xmlns:x15="http://schemas.microsoft.com/office/spreadsheetml/2010/11/main" uri="{DE250136-89BD-433C-8126-D09CA5730AF9}">
        <x15:connection id="Range" autoDelete="1">
          <x15:rangePr sourceName="_xlcn.WorksheetConnection_Excel_jumia_datasetA1M1101"/>
        </x15:connection>
      </ext>
    </extLst>
  </connection>
</connections>
</file>

<file path=xl/sharedStrings.xml><?xml version="1.0" encoding="utf-8"?>
<sst xmlns="http://schemas.openxmlformats.org/spreadsheetml/2006/main" count="456" uniqueCount="343">
  <si>
    <t>Product</t>
  </si>
  <si>
    <t>Current price</t>
  </si>
  <si>
    <t>old price</t>
  </si>
  <si>
    <t>Discount</t>
  </si>
  <si>
    <t>Review</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</si>
  <si>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</si>
  <si>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</si>
  <si>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</si>
  <si>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</si>
  <si>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</si>
  <si>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</si>
  <si>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</si>
  <si>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</si>
  <si>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</si>
  <si>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</si>
  <si>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</si>
  <si>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</si>
  <si>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</si>
  <si>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</si>
  <si>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</si>
  <si>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</si>
  <si>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</si>
  <si>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</si>
  <si>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</si>
  <si>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</si>
  <si>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</si>
  <si>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</si>
  <si>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</si>
  <si>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</si>
  <si>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</si>
  <si>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</si>
  <si>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</si>
  <si>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</si>
  <si>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</si>
  <si>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</si>
  <si>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</si>
  <si>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</si>
  <si>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</si>
  <si>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</si>
  <si>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</si>
  <si>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</si>
  <si>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</si>
  <si>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</si>
  <si>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</si>
  <si>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</si>
  <si>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</si>
  <si>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</si>
  <si>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</si>
  <si>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</si>
  <si>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</si>
  <si>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</si>
  <si>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</si>
  <si>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</si>
  <si>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</si>
  <si>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</si>
  <si>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</si>
  <si>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</si>
  <si>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</si>
  <si>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</si>
  <si>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</si>
  <si>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</si>
  <si>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</si>
  <si>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</si>
  <si>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</si>
  <si>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</si>
  <si>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</si>
  <si>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</si>
  <si>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</si>
  <si>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</si>
  <si>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</si>
  <si>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</si>
  <si>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</si>
  <si>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</si>
  <si>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</si>
  <si>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</si>
  <si>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</si>
  <si>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</si>
  <si>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</si>
  <si>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</si>
  <si>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</si>
  <si>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</si>
  <si>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</si>
  <si>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</si>
  <si>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</si>
  <si>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</si>
  <si>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</si>
  <si>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</si>
  <si>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</si>
  <si>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</si>
  <si>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</si>
  <si>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</si>
  <si>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</si>
  <si>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</si>
  <si>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</si>
  <si>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</si>
  <si>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</si>
  <si>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</si>
  <si>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</si>
  <si>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</si>
  <si>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</si>
  <si>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</si>
  <si>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</si>
  <si>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</si>
  <si>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</si>
  <si>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</si>
  <si>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</si>
  <si>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</si>
  <si>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</si>
  <si>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</si>
  <si>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</si>
  <si>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</si>
  <si>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</si>
  <si>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</si>
  <si>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</si>
  <si>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</si>
  <si>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</si>
  <si>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</si>
  <si>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</si>
  <si>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</si>
  <si>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</si>
  <si>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</si>
  <si>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</si>
  <si>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</si>
  <si>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</si>
  <si>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</si>
  <si>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</si>
  <si>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</si>
  <si>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</si>
  <si>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</si>
  <si>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</si>
  <si>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</si>
  <si>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</si>
  <si>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</si>
  <si>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</si>
  <si>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</si>
  <si>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</si>
  <si>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</si>
  <si>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</si>
  <si>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</si>
  <si>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</si>
  <si>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</si>
  <si>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</si>
  <si>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</si>
  <si>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</si>
  <si>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</si>
  <si>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</si>
  <si>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</si>
  <si>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</si>
  <si>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</si>
  <si>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</si>
  <si>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</si>
  <si>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</si>
  <si>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</si>
  <si>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</si>
  <si>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</si>
  <si>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</si>
  <si>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</si>
  <si>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</si>
  <si>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</si>
  <si>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</si>
  <si>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</si>
  <si>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</si>
  <si>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</si>
  <si>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</si>
  <si>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</si>
  <si>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</si>
  <si>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</si>
  <si>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</si>
  <si>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</si>
  <si>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</si>
  <si>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</si>
  <si>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</si>
  <si>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</si>
  <si>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</si>
  <si>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</si>
  <si>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</si>
  <si>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</si>
  <si>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</si>
  <si>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</si>
  <si>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</si>
  <si>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</si>
  <si>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</si>
  <si>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</si>
  <si>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</si>
  <si>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</si>
  <si>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</si>
  <si>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</si>
  <si>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</si>
  <si>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</si>
  <si>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</si>
  <si>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</si>
  <si>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</si>
  <si>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</si>
  <si>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</si>
  <si>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</si>
  <si>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</si>
  <si>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</si>
  <si>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</si>
  <si>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</si>
  <si>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</si>
  <si>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</si>
  <si>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</si>
  <si>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</si>
  <si>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</si>
  <si>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</si>
  <si>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</si>
  <si>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</si>
  <si>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</si>
  <si>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</si>
  <si>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</si>
  <si>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</si>
  <si>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</si>
  <si>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</si>
  <si>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</si>
  <si>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</si>
  <si>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</si>
  <si>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</si>
  <si>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</si>
  <si>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</si>
  <si>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</si>
  <si>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</si>
  <si>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</si>
  <si>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</si>
  <si>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</si>
  <si>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</si>
  <si>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</si>
  <si>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</si>
  <si>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</si>
  <si>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</si>
  <si>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</si>
  <si>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</si>
  <si>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</si>
  <si>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</si>
  <si>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</si>
  <si>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</si>
  <si>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</si>
  <si>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</si>
  <si>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</si>
  <si>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</si>
  <si>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</si>
  <si>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</si>
  <si>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</si>
  <si>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</si>
  <si>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</si>
  <si>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</si>
  <si>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</si>
  <si>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</si>
  <si>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</si>
  <si>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</si>
  <si>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</si>
  <si>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</si>
  <si>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</si>
  <si>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</si>
  <si>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</si>
  <si>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</si>
  <si>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</si>
  <si>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</si>
  <si>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</si>
  <si>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</si>
  <si>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</si>
  <si>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</si>
  <si>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</si>
  <si>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</si>
  <si>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</si>
  <si>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</si>
  <si>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</si>
  <si>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</si>
  <si>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</si>
  <si>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</si>
  <si>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</si>
  <si>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</si>
  <si>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</si>
  <si>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</si>
  <si>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</si>
  <si>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</si>
  <si>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</si>
  <si>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</si>
  <si>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</si>
  <si>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</si>
  <si>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</si>
  <si>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</si>
  <si>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</si>
  <si>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</si>
  <si>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</si>
  <si>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</si>
  <si>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</si>
  <si>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</si>
  <si>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</si>
  <si>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</si>
  <si>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</si>
  <si>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</si>
  <si>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</si>
  <si>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</si>
  <si>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</si>
  <si>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</si>
  <si>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</si>
  <si>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</si>
  <si>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</si>
  <si>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</si>
  <si>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</si>
  <si>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</si>
  <si>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</si>
  <si>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</si>
  <si>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</si>
  <si>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</si>
  <si>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</si>
  <si>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</si>
  <si>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</si>
  <si>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</si>
  <si>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</si>
  <si>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</si>
  <si>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</si>
  <si>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</si>
  <si>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</si>
  <si>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</si>
  <si>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Current price Num</t>
  </si>
  <si>
    <t>Old Price Num</t>
  </si>
  <si>
    <t>Rating</t>
  </si>
  <si>
    <t>Rating Std</t>
  </si>
  <si>
    <t>Reviews</t>
  </si>
  <si>
    <t>Abs Discount</t>
  </si>
  <si>
    <t>Rating Category</t>
  </si>
  <si>
    <t>KSh 1,800</t>
  </si>
  <si>
    <t>KSh 2,700</t>
  </si>
  <si>
    <t>Row Labels</t>
  </si>
  <si>
    <t>Grand Total</t>
  </si>
  <si>
    <t>Average of Rating Std</t>
  </si>
  <si>
    <t>Average of Reviews</t>
  </si>
  <si>
    <t>Sum of Discount</t>
  </si>
  <si>
    <t>Average</t>
  </si>
  <si>
    <t>Excellent</t>
  </si>
  <si>
    <t>Poor</t>
  </si>
  <si>
    <t>Count of Product</t>
  </si>
  <si>
    <t>Discount Category</t>
  </si>
  <si>
    <t>High</t>
  </si>
  <si>
    <t>Low</t>
  </si>
  <si>
    <t>Product Type</t>
  </si>
  <si>
    <t>Cleaning &amp; Appliances</t>
  </si>
  <si>
    <t>Home &amp; Kitchen</t>
  </si>
  <si>
    <t>Home Decor</t>
  </si>
  <si>
    <t>Other</t>
  </si>
  <si>
    <t>Tools &amp; Hardware</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</si>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</sst>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0" fontId="13" fillId="33" borderId="0" xfId="0" applyFont="1"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 fontId="13" fillId="33" borderId="0" xfId="0" applyNumberFormat="1" applyFont="1" applyFill="1"/>
    <xf numFmtId="1" fontId="0" fillId="0" borderId="0" xfId="0" applyNumberFormat="1"/>
    <xf numFmtId="0"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[Cleaned_Dataset.xlsx]Prct Rating!PivotTable1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 RATING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'Prct Rating'!$B$3</c:f>
              <c:strCache>
                <c:ptCount val="1"/>
                <c:pt idx="0">
                  <c:v>Total</c:v>
                </c:pt>
              </c:strCache>
            </c:strRef>
          </c:tx>
          <c:spPr>
            <a:solidFill>
              <a:schemeClr val="accent4"/>
            </a:solidFill>
            <a:ln>
              <a:noFill/>
            </a:ln>
            <a:effectLst/>
          </c:spPr>
          <c:invertIfNegative val="0"/>
          <c:cat>
            <c:strRef>
              <c:f>'Prct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'Prct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9A65-4C4E-BFC0-9ED7A85DAF76}"/>
            </c:ext>
          </c:extLst>
        </c:ser>
        <c:dLbls>
          <c:showLegendKey val="0"/>
          <c:showVal val="0"/>
          <c:showCatName val="0"/>
          <c:showSerName val="0"/>
          <c:showPercent val="0"/>
          <c:showBubbleSize val="0"/>
        </c:dLbls>
        <c:gapWidth val="219"/>
        <c:overlap val="-27"/>
        <c:axId val="1790597552"/>
        <c:axId val="1790616752"/>
      </c:barChart>
      <c:catAx>
        <c:axId val="1790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6752"/>
        <c:crosses val="autoZero"/>
        <c:auto val="1"/>
        <c:lblAlgn val="ctr"/>
        <c:lblOffset val="100"/>
        <c:noMultiLvlLbl val="0"/>
      </c:catAx>
      <c:valAx>
        <c:axId val="179061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9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[Cleaned_Dataset.xlsx]Prct Review!PivotTable2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 Product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'Prct Review'!$B$3</c:f>
              <c:strCache>
                <c:ptCount val="1"/>
                <c:pt idx="0">
                  <c:v>Total</c:v>
                </c:pt>
              </c:strCache>
            </c:strRef>
          </c:tx>
          <c:spPr>
            <a:solidFill>
              <a:schemeClr val="accent4"/>
            </a:solidFill>
            <a:ln>
              <a:noFill/>
            </a:ln>
            <a:effectLst/>
          </c:spPr>
          <c:invertIfNegative val="0"/>
          <c:cat>
            <c:strRef>
              <c:f>'Prct Review'!$A$4:$A$14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'Prct Review'!$B$4:$B$14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BA37-4757-B6A7-9F67B2FBE9ED}"/>
            </c:ext>
          </c:extLst>
        </c:ser>
        <c:dLbls>
          <c:showLegendKey val="0"/>
          <c:showVal val="0"/>
          <c:showCatName val="0"/>
          <c:showSerName val="0"/>
          <c:showPercent val="0"/>
          <c:showBubbleSize val="0"/>
        </c:dLbls>
        <c:gapWidth val="219"/>
        <c:overlap val="-27"/>
        <c:axId val="1790636432"/>
        <c:axId val="1790623472"/>
      </c:barChart>
      <c:catAx>
        <c:axId val="179063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23472"/>
        <c:crosses val="autoZero"/>
        <c:auto val="1"/>
        <c:lblAlgn val="ctr"/>
        <c:lblOffset val="100"/>
        <c:noMultiLvlLbl val="0"/>
      </c:catAx>
      <c:valAx>
        <c:axId val="179062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Discount vs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Excel_jumia_dataset!$M$1</c:f>
              <c:strCache>
                <c:ptCount val="1"/>
                <c:pt idx="0">
                  <c:v>Rating Std</c:v>
                </c:pt>
              </c:strCache>
            </c:strRef>
          </c:tx>
          <c:spPr>
            <a:ln w="19050" cap="rnd">
              <a:noFill/>
              <a:round/>
            </a:ln>
            <a:effectLst/>
          </c:spPr>
          <c:marker>
            <c:symbol val="circle"/>
            <c:size val="5"/>
            <c:spPr>
              <a:solidFill>
                <a:schemeClr val="accent4"/>
              </a:solidFill>
              <a:ln w="9525">
                <a:solidFill>
                  <a:schemeClr val="accent4"/>
                </a:solidFill>
              </a:ln>
              <a:effectLst/>
            </c:spPr>
          </c:marker>
          <c:xVal>
            <c:numRef>
              <c:f>Excel_jumia_dataset!$H$2:$H$111</c:f>
              <c:numCache>
                <c:formatCode>0%</c:formatCode>
                <c:ptCount val="110"/>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0.13</c:v>
                </c:pt>
                <c:pt idx="59">
                  <c:v>0.54</c:v>
                </c:pt>
                <c:pt idx="60">
                  <c:v>0.55000000000000004</c:v>
                </c:pt>
                <c:pt idx="61">
                  <c:v>0.49</c:v>
                </c:pt>
                <c:pt idx="62">
                  <c:v>0.52</c:v>
                </c:pt>
                <c:pt idx="63">
                  <c:v>0.22</c:v>
                </c:pt>
                <c:pt idx="64">
                  <c:v>0.45</c:v>
                </c:pt>
                <c:pt idx="65">
                  <c:v>0.5</c:v>
                </c:pt>
                <c:pt idx="66">
                  <c:v>0.39</c:v>
                </c:pt>
                <c:pt idx="67">
                  <c:v>0.45</c:v>
                </c:pt>
                <c:pt idx="68">
                  <c:v>0.28999999999999998</c:v>
                </c:pt>
                <c:pt idx="69">
                  <c:v>0.43</c:v>
                </c:pt>
                <c:pt idx="70">
                  <c:v>0.43</c:v>
                </c:pt>
                <c:pt idx="71">
                  <c:v>0.47</c:v>
                </c:pt>
                <c:pt idx="72">
                  <c:v>0.47</c:v>
                </c:pt>
                <c:pt idx="73">
                  <c:v>0.47</c:v>
                </c:pt>
                <c:pt idx="74">
                  <c:v>0.43</c:v>
                </c:pt>
                <c:pt idx="75">
                  <c:v>0.04</c:v>
                </c:pt>
                <c:pt idx="76">
                  <c:v>0.49</c:v>
                </c:pt>
                <c:pt idx="77">
                  <c:v>0.46</c:v>
                </c:pt>
                <c:pt idx="78">
                  <c:v>0.49</c:v>
                </c:pt>
                <c:pt idx="79">
                  <c:v>0.36</c:v>
                </c:pt>
                <c:pt idx="80">
                  <c:v>0.02</c:v>
                </c:pt>
                <c:pt idx="81">
                  <c:v>0.49</c:v>
                </c:pt>
                <c:pt idx="82">
                  <c:v>0.14000000000000001</c:v>
                </c:pt>
                <c:pt idx="83">
                  <c:v>0.49</c:v>
                </c:pt>
                <c:pt idx="84">
                  <c:v>0.11</c:v>
                </c:pt>
                <c:pt idx="85">
                  <c:v>0.14000000000000001</c:v>
                </c:pt>
                <c:pt idx="86">
                  <c:v>0.43</c:v>
                </c:pt>
                <c:pt idx="87">
                  <c:v>0.5</c:v>
                </c:pt>
                <c:pt idx="88">
                  <c:v>0.48</c:v>
                </c:pt>
                <c:pt idx="89">
                  <c:v>0.48</c:v>
                </c:pt>
                <c:pt idx="90">
                  <c:v>0.47</c:v>
                </c:pt>
                <c:pt idx="91">
                  <c:v>0.5</c:v>
                </c:pt>
                <c:pt idx="92">
                  <c:v>0.08</c:v>
                </c:pt>
                <c:pt idx="93">
                  <c:v>0.02</c:v>
                </c:pt>
                <c:pt idx="94">
                  <c:v>0.49</c:v>
                </c:pt>
                <c:pt idx="95">
                  <c:v>0.04</c:v>
                </c:pt>
                <c:pt idx="96">
                  <c:v>0.49</c:v>
                </c:pt>
                <c:pt idx="97">
                  <c:v>0.42</c:v>
                </c:pt>
                <c:pt idx="98">
                  <c:v>0.21</c:v>
                </c:pt>
                <c:pt idx="99">
                  <c:v>0.41</c:v>
                </c:pt>
                <c:pt idx="100">
                  <c:v>0.01</c:v>
                </c:pt>
                <c:pt idx="101">
                  <c:v>0.24</c:v>
                </c:pt>
                <c:pt idx="102">
                  <c:v>0.34</c:v>
                </c:pt>
                <c:pt idx="103">
                  <c:v>0.34</c:v>
                </c:pt>
                <c:pt idx="104">
                  <c:v>0.02</c:v>
                </c:pt>
                <c:pt idx="105">
                  <c:v>0.02</c:v>
                </c:pt>
                <c:pt idx="106">
                  <c:v>0.64</c:v>
                </c:pt>
                <c:pt idx="107">
                  <c:v>0.5</c:v>
                </c:pt>
                <c:pt idx="108">
                  <c:v>0.47</c:v>
                </c:pt>
                <c:pt idx="109">
                  <c:v>0.36385321100917423</c:v>
                </c:pt>
              </c:numCache>
            </c:numRef>
          </c:xVal>
          <c:yVal>
            <c:numRef>
              <c:f>Excel_jumia_dataset!$M$2:$M$111</c:f>
              <c:numCache>
                <c:formatCode>General</c:formatCode>
                <c:ptCount val="110"/>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2.5</c:v>
                </c:pt>
                <c:pt idx="59">
                  <c:v>3</c:v>
                </c:pt>
                <c:pt idx="60">
                  <c:v>2.1</c:v>
                </c:pt>
                <c:pt idx="61">
                  <c:v>2.8</c:v>
                </c:pt>
                <c:pt idx="62">
                  <c:v>2.7</c:v>
                </c:pt>
                <c:pt idx="63">
                  <c:v>2.9</c:v>
                </c:pt>
                <c:pt idx="64">
                  <c:v>2.2000000000000002</c:v>
                </c:pt>
                <c:pt idx="65">
                  <c:v>2.2999999999999998</c:v>
                </c:pt>
                <c:pt idx="66">
                  <c:v>3</c:v>
                </c:pt>
                <c:pt idx="67">
                  <c:v>2.6</c:v>
                </c:pt>
                <c:pt idx="68">
                  <c:v>3</c:v>
                </c:pt>
                <c:pt idx="69">
                  <c:v>2.2999999999999998</c:v>
                </c:pt>
                <c:pt idx="70">
                  <c:v>3</c:v>
                </c:pt>
                <c:pt idx="71">
                  <c:v>2.2000000000000002</c:v>
                </c:pt>
                <c:pt idx="72">
                  <c:v>2.1</c:v>
                </c:pt>
                <c:pt idx="73">
                  <c:v>0</c:v>
                </c:pt>
                <c:pt idx="74">
                  <c:v>0</c:v>
                </c:pt>
                <c:pt idx="75">
                  <c:v>0</c:v>
                </c:pt>
                <c:pt idx="76">
                  <c:v>0</c:v>
                </c:pt>
                <c:pt idx="77">
                  <c:v>3</c:v>
                </c:pt>
                <c:pt idx="78">
                  <c:v>5</c:v>
                </c:pt>
                <c:pt idx="79">
                  <c:v>0</c:v>
                </c:pt>
                <c:pt idx="80">
                  <c:v>0</c:v>
                </c:pt>
                <c:pt idx="81">
                  <c:v>4</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c:v>
                </c:pt>
                <c:pt idx="99">
                  <c:v>0</c:v>
                </c:pt>
                <c:pt idx="100">
                  <c:v>0</c:v>
                </c:pt>
                <c:pt idx="101">
                  <c:v>0</c:v>
                </c:pt>
                <c:pt idx="102">
                  <c:v>0</c:v>
                </c:pt>
                <c:pt idx="103">
                  <c:v>0</c:v>
                </c:pt>
                <c:pt idx="104">
                  <c:v>0</c:v>
                </c:pt>
                <c:pt idx="105">
                  <c:v>0</c:v>
                </c:pt>
                <c:pt idx="106">
                  <c:v>0</c:v>
                </c:pt>
                <c:pt idx="107">
                  <c:v>2</c:v>
                </c:pt>
                <c:pt idx="108">
                  <c:v>0</c:v>
                </c:pt>
                <c:pt idx="109">
                  <c:v>3.8894736842105258</c:v>
                </c:pt>
              </c:numCache>
            </c:numRef>
          </c:yVal>
          <c:smooth val="0"/>
          <c:extLst>
            <c:ext xmlns:c16="http://schemas.microsoft.com/office/drawing/2014/chart" uri="{C3380CC4-5D6E-409C-BE32-E72D297353CC}">
              <c16:uniqueId val="{00000000-233F-4BBB-9703-3491FFBCE910}"/>
            </c:ext>
          </c:extLst>
        </c:ser>
        <c:dLbls>
          <c:showLegendKey val="0"/>
          <c:showVal val="0"/>
          <c:showCatName val="0"/>
          <c:showSerName val="0"/>
          <c:showPercent val="0"/>
          <c:showBubbleSize val="0"/>
        </c:dLbls>
        <c:axId val="1790610032"/>
        <c:axId val="1790613392"/>
      </c:scatterChart>
      <c:valAx>
        <c:axId val="179061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3392"/>
        <c:crosses val="autoZero"/>
        <c:crossBetween val="midCat"/>
      </c:valAx>
      <c:valAx>
        <c:axId val="1790613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0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Rating vs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Excel_jumia_dataset!$M$1</c:f>
              <c:strCache>
                <c:ptCount val="1"/>
                <c:pt idx="0">
                  <c:v>Rating Std</c:v>
                </c:pt>
              </c:strCache>
            </c:strRef>
          </c:tx>
          <c:spPr>
            <a:ln w="19050" cap="rnd">
              <a:noFill/>
              <a:round/>
            </a:ln>
            <a:effectLst/>
          </c:spPr>
          <c:marker>
            <c:symbol val="circle"/>
            <c:size val="5"/>
            <c:spPr>
              <a:solidFill>
                <a:schemeClr val="accent4"/>
              </a:solidFill>
              <a:ln w="9525">
                <a:solidFill>
                  <a:schemeClr val="accent4"/>
                </a:solidFill>
              </a:ln>
              <a:effectLst/>
            </c:spPr>
          </c:marker>
          <c:xVal>
            <c:strRef>
              <c:f>Excel_jumia_dataset!$K$2:$K$111</c:f>
              <c:strCache>
                <c:ptCount val="110"/>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7">
                  <c:v>1</c:v>
                </c:pt>
                <c:pt idx="78">
                  <c:v>1</c:v>
                </c:pt>
                <c:pt idx="81">
                  <c:v>1</c:v>
                </c:pt>
                <c:pt idx="98">
                  <c:v>1</c:v>
                </c:pt>
                <c:pt idx="107">
                  <c:v>1</c:v>
                </c:pt>
                <c:pt idx="109">
                  <c:v>723</c:v>
                </c:pt>
              </c:strCache>
            </c:strRef>
          </c:xVal>
          <c:yVal>
            <c:numRef>
              <c:f>Excel_jumia_dataset!$M$2:$M$111</c:f>
              <c:numCache>
                <c:formatCode>General</c:formatCode>
                <c:ptCount val="110"/>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2.5</c:v>
                </c:pt>
                <c:pt idx="59">
                  <c:v>3</c:v>
                </c:pt>
                <c:pt idx="60">
                  <c:v>2.1</c:v>
                </c:pt>
                <c:pt idx="61">
                  <c:v>2.8</c:v>
                </c:pt>
                <c:pt idx="62">
                  <c:v>2.7</c:v>
                </c:pt>
                <c:pt idx="63">
                  <c:v>2.9</c:v>
                </c:pt>
                <c:pt idx="64">
                  <c:v>2.2000000000000002</c:v>
                </c:pt>
                <c:pt idx="65">
                  <c:v>2.2999999999999998</c:v>
                </c:pt>
                <c:pt idx="66">
                  <c:v>3</c:v>
                </c:pt>
                <c:pt idx="67">
                  <c:v>2.6</c:v>
                </c:pt>
                <c:pt idx="68">
                  <c:v>3</c:v>
                </c:pt>
                <c:pt idx="69">
                  <c:v>2.2999999999999998</c:v>
                </c:pt>
                <c:pt idx="70">
                  <c:v>3</c:v>
                </c:pt>
                <c:pt idx="71">
                  <c:v>2.2000000000000002</c:v>
                </c:pt>
                <c:pt idx="72">
                  <c:v>2.1</c:v>
                </c:pt>
                <c:pt idx="73">
                  <c:v>0</c:v>
                </c:pt>
                <c:pt idx="74">
                  <c:v>0</c:v>
                </c:pt>
                <c:pt idx="75">
                  <c:v>0</c:v>
                </c:pt>
                <c:pt idx="76">
                  <c:v>0</c:v>
                </c:pt>
                <c:pt idx="77">
                  <c:v>3</c:v>
                </c:pt>
                <c:pt idx="78">
                  <c:v>5</c:v>
                </c:pt>
                <c:pt idx="79">
                  <c:v>0</c:v>
                </c:pt>
                <c:pt idx="80">
                  <c:v>0</c:v>
                </c:pt>
                <c:pt idx="81">
                  <c:v>4</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c:v>
                </c:pt>
                <c:pt idx="99">
                  <c:v>0</c:v>
                </c:pt>
                <c:pt idx="100">
                  <c:v>0</c:v>
                </c:pt>
                <c:pt idx="101">
                  <c:v>0</c:v>
                </c:pt>
                <c:pt idx="102">
                  <c:v>0</c:v>
                </c:pt>
                <c:pt idx="103">
                  <c:v>0</c:v>
                </c:pt>
                <c:pt idx="104">
                  <c:v>0</c:v>
                </c:pt>
                <c:pt idx="105">
                  <c:v>0</c:v>
                </c:pt>
                <c:pt idx="106">
                  <c:v>0</c:v>
                </c:pt>
                <c:pt idx="107">
                  <c:v>2</c:v>
                </c:pt>
                <c:pt idx="108">
                  <c:v>0</c:v>
                </c:pt>
                <c:pt idx="109">
                  <c:v>3.8894736842105258</c:v>
                </c:pt>
              </c:numCache>
            </c:numRef>
          </c:yVal>
          <c:smooth val="0"/>
          <c:extLst>
            <c:ext xmlns:c16="http://schemas.microsoft.com/office/drawing/2014/chart" uri="{C3380CC4-5D6E-409C-BE32-E72D297353CC}">
              <c16:uniqueId val="{00000000-C16F-4B76-8FF0-710680A6C63F}"/>
            </c:ext>
          </c:extLst>
        </c:ser>
        <c:dLbls>
          <c:showLegendKey val="0"/>
          <c:showVal val="0"/>
          <c:showCatName val="0"/>
          <c:showSerName val="0"/>
          <c:showPercent val="0"/>
          <c:showBubbleSize val="0"/>
        </c:dLbls>
        <c:axId val="1790611952"/>
        <c:axId val="1790587472"/>
      </c:scatterChart>
      <c:valAx>
        <c:axId val="1790611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87472"/>
        <c:crosses val="autoZero"/>
        <c:crossBetween val="midCat"/>
      </c:valAx>
      <c:valAx>
        <c:axId val="17905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1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[Cleaned_Dataset.xlsx]Rating Cat!PivotTable4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Product Rating Category</a:t>
            </a:r>
            <a:endParaRPr lang="en-US" b="1">
              <a:solidFill>
                <a:srgbClr val="FF0000"/>
              </a:solidFill>
            </a:endParaRPr>
          </a:p>
        </c:rich>
      </c:tx>
      <c:layout>
        <c:manualLayout>
          <c:xMode val="edge"/>
          <c:yMode val="edge"/>
          <c:x val="0.3424179790026247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58000"/>
            </a:schemeClr>
          </a:solidFill>
          <a:ln w="19050">
            <a:solidFill>
              <a:schemeClr val="lt1"/>
            </a:solidFill>
          </a:ln>
          <a:effectLst/>
        </c:spPr>
      </c:pivotFmt>
      <c:pivotFmt>
        <c:idx val="3"/>
        <c:spPr>
          <a:solidFill>
            <a:schemeClr val="accent4">
              <a:shade val="86000"/>
            </a:schemeClr>
          </a:solidFill>
          <a:ln w="19050">
            <a:solidFill>
              <a:schemeClr val="lt1"/>
            </a:solidFill>
          </a:ln>
          <a:effectLst/>
        </c:spPr>
      </c:pivotFmt>
      <c:pivotFmt>
        <c:idx val="4"/>
        <c:spPr>
          <a:solidFill>
            <a:schemeClr val="accent4">
              <a:tint val="86000"/>
            </a:schemeClr>
          </a:solidFill>
          <a:ln w="19050">
            <a:solidFill>
              <a:schemeClr val="lt1"/>
            </a:solidFill>
          </a:ln>
          <a:effectLst/>
        </c:spPr>
      </c:pivotFmt>
      <c:pivotFmt>
        <c:idx val="5"/>
        <c:spPr>
          <a:solidFill>
            <a:schemeClr val="accent4">
              <a:tint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pivotFmt>
      <c:pivotFmt>
        <c:idx val="8"/>
        <c:spPr>
          <a:solidFill>
            <a:schemeClr val="accent4">
              <a:shade val="86000"/>
            </a:schemeClr>
          </a:solidFill>
          <a:ln w="19050">
            <a:solidFill>
              <a:schemeClr val="lt1"/>
            </a:solidFill>
          </a:ln>
          <a:effectLst/>
        </c:spPr>
      </c:pivotFmt>
      <c:pivotFmt>
        <c:idx val="9"/>
        <c:spPr>
          <a:solidFill>
            <a:schemeClr val="accent4">
              <a:tint val="86000"/>
            </a:schemeClr>
          </a:solidFill>
          <a:ln w="19050">
            <a:solidFill>
              <a:schemeClr val="lt1"/>
            </a:solidFill>
          </a:ln>
          <a:effectLst/>
        </c:spPr>
      </c:pivotFmt>
      <c:pivotFmt>
        <c:idx val="10"/>
        <c:spPr>
          <a:solidFill>
            <a:schemeClr val="accent4">
              <a:tint val="58000"/>
            </a:schemeClr>
          </a:solidFill>
          <a:ln w="19050">
            <a:solidFill>
              <a:schemeClr val="lt1"/>
            </a:solidFill>
          </a:ln>
          <a:effectLst/>
        </c:spPr>
      </c:pivotFmt>
    </c:pivotFmts>
    <c:plotArea>
      <c:layout/>
      <c:pieChart>
        <c:varyColors val="1"/>
        <c:ser>
          <c:idx val="0"/>
          <c:order val="0"/>
          <c:tx>
            <c:strRef>
              <c:f>'Rating Cat'!$B$3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2AF8-4B5E-9C74-5F319508B6E9}"/>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2AF8-4B5E-9C74-5F319508B6E9}"/>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2AF8-4B5E-9C74-5F319508B6E9}"/>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2AF8-4B5E-9C74-5F319508B6E9}"/>
              </c:ext>
            </c:extLst>
          </c:dPt>
          <c:cat>
            <c:strRef>
              <c:f>'Rating Cat'!$A$4:$A$8</c:f>
              <c:strCache>
                <c:ptCount val="4"/>
                <c:pt idx="1">
                  <c:v>Average</c:v>
                </c:pt>
                <c:pt idx="2">
                  <c:v>Excellent</c:v>
                </c:pt>
                <c:pt idx="3">
                  <c:v>Poor</c:v>
                </c:pt>
              </c:strCache>
            </c:strRef>
          </c:cat>
          <c:val>
            <c:numRef>
              <c:f>'Rating Cat'!$B$4:$B$8</c:f>
              <c:numCache>
                <c:formatCode>General</c:formatCode>
                <c:ptCount val="4"/>
                <c:pt idx="0">
                  <c:v>52</c:v>
                </c:pt>
                <c:pt idx="1">
                  <c:v>22</c:v>
                </c:pt>
                <c:pt idx="2">
                  <c:v>23</c:v>
                </c:pt>
                <c:pt idx="3">
                  <c:v>12</c:v>
                </c:pt>
              </c:numCache>
            </c:numRef>
          </c:val>
          <c:extLst>
            <c:ext xmlns:c16="http://schemas.microsoft.com/office/drawing/2014/chart" uri="{C3380CC4-5D6E-409C-BE32-E72D297353CC}">
              <c16:uniqueId val="{00000008-2AF8-4B5E-9C74-5F319508B6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[Cleaned_Dataset.xlsx]Pdrct Disc!PivotTable10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Product Discount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hade val="76000"/>
            </a:schemeClr>
          </a:solidFill>
          <a:ln w="19050">
            <a:solidFill>
              <a:schemeClr val="lt1"/>
            </a:solidFill>
          </a:ln>
          <a:effectLst/>
        </c:spPr>
      </c:pivotFmt>
      <c:pivotFmt>
        <c:idx val="5"/>
        <c:spPr>
          <a:solidFill>
            <a:schemeClr val="accent4">
              <a:tint val="77000"/>
            </a:schemeClr>
          </a:solidFill>
          <a:ln w="19050">
            <a:solidFill>
              <a:schemeClr val="lt1"/>
            </a:solidFill>
          </a:ln>
          <a:effectLst/>
        </c:spPr>
      </c:pivotFmt>
      <c:pivotFmt>
        <c:idx val="6"/>
        <c:spPr>
          <a:solidFill>
            <a:schemeClr val="accent4">
              <a:tint val="65000"/>
            </a:schemeClr>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hade val="76000"/>
            </a:schemeClr>
          </a:solidFill>
          <a:ln w="19050">
            <a:solidFill>
              <a:schemeClr val="lt1"/>
            </a:solidFill>
          </a:ln>
          <a:effectLst/>
        </c:spPr>
      </c:pivotFmt>
      <c:pivotFmt>
        <c:idx val="9"/>
        <c:spPr>
          <a:solidFill>
            <a:schemeClr val="accent4">
              <a:tint val="77000"/>
            </a:schemeClr>
          </a:solidFill>
          <a:ln w="19050">
            <a:solidFill>
              <a:schemeClr val="lt1"/>
            </a:solidFill>
          </a:ln>
          <a:effectLst/>
        </c:spPr>
      </c:pivotFmt>
      <c:pivotFmt>
        <c:idx val="10"/>
        <c:spPr>
          <a:solidFill>
            <a:schemeClr val="accent4">
              <a:tint val="65000"/>
            </a:schemeClr>
          </a:solidFill>
          <a:ln w="19050">
            <a:solidFill>
              <a:schemeClr val="lt1"/>
            </a:solidFill>
          </a:ln>
          <a:effectLst/>
        </c:spPr>
      </c:pivotFmt>
    </c:pivotFmts>
    <c:plotArea>
      <c:layout/>
      <c:pieChart>
        <c:varyColors val="1"/>
        <c:ser>
          <c:idx val="0"/>
          <c:order val="0"/>
          <c:tx>
            <c:strRef>
              <c:f>'Pdrct Disc'!$B$3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AD7E-42A0-B87E-A0E29AAE0D77}"/>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AD7E-42A0-B87E-A0E29AAE0D77}"/>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AD7E-42A0-B87E-A0E29AAE0D77}"/>
              </c:ext>
            </c:extLst>
          </c:dPt>
          <c:cat>
            <c:strRef>
              <c:f>'Pdrct Disc'!$A$4:$A$7</c:f>
              <c:strCache>
                <c:ptCount val="3"/>
                <c:pt idx="0">
                  <c:v>High</c:v>
                </c:pt>
                <c:pt idx="1">
                  <c:v>Low</c:v>
                </c:pt>
                <c:pt idx="2">
                  <c:v>Medium</c:v>
                </c:pt>
              </c:strCache>
            </c:strRef>
          </c:cat>
          <c:val>
            <c:numRef>
              <c:f>'Pdrct Disc'!$B$4:$B$7</c:f>
              <c:numCache>
                <c:formatCode>General</c:formatCode>
                <c:ptCount val="3"/>
                <c:pt idx="0">
                  <c:v>58</c:v>
                </c:pt>
                <c:pt idx="1">
                  <c:v>18</c:v>
                </c:pt>
                <c:pt idx="2">
                  <c:v>32</c:v>
                </c:pt>
              </c:numCache>
            </c:numRef>
          </c:val>
          <c:extLst>
            <c:ext xmlns:c16="http://schemas.microsoft.com/office/drawing/2014/chart" uri="{C3380CC4-5D6E-409C-BE32-E72D297353CC}">
              <c16:uniqueId val="{00000006-AD7E-42A0-B87E-A0E29AAE0D7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91666666666667"/>
          <c:y val="0.44146908719743366"/>
          <c:w val="0.23655913978494622"/>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Discount vs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Excel_jumia_dataset!$M$1</c:f>
              <c:strCache>
                <c:ptCount val="1"/>
                <c:pt idx="0">
                  <c:v>Rating Std</c:v>
                </c:pt>
              </c:strCache>
            </c:strRef>
          </c:tx>
          <c:spPr>
            <a:ln w="19050" cap="rnd">
              <a:noFill/>
              <a:round/>
            </a:ln>
            <a:effectLst/>
          </c:spPr>
          <c:marker>
            <c:symbol val="circle"/>
            <c:size val="5"/>
            <c:spPr>
              <a:solidFill>
                <a:schemeClr val="accent4"/>
              </a:solidFill>
              <a:ln w="9525">
                <a:solidFill>
                  <a:schemeClr val="accent4"/>
                </a:solidFill>
              </a:ln>
              <a:effectLst/>
            </c:spPr>
          </c:marker>
          <c:xVal>
            <c:numRef>
              <c:f>Excel_jumia_dataset!$H$2:$H$111</c:f>
              <c:numCache>
                <c:formatCode>0%</c:formatCode>
                <c:ptCount val="110"/>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0.13</c:v>
                </c:pt>
                <c:pt idx="59">
                  <c:v>0.54</c:v>
                </c:pt>
                <c:pt idx="60">
                  <c:v>0.55000000000000004</c:v>
                </c:pt>
                <c:pt idx="61">
                  <c:v>0.49</c:v>
                </c:pt>
                <c:pt idx="62">
                  <c:v>0.52</c:v>
                </c:pt>
                <c:pt idx="63">
                  <c:v>0.22</c:v>
                </c:pt>
                <c:pt idx="64">
                  <c:v>0.45</c:v>
                </c:pt>
                <c:pt idx="65">
                  <c:v>0.5</c:v>
                </c:pt>
                <c:pt idx="66">
                  <c:v>0.39</c:v>
                </c:pt>
                <c:pt idx="67">
                  <c:v>0.45</c:v>
                </c:pt>
                <c:pt idx="68">
                  <c:v>0.28999999999999998</c:v>
                </c:pt>
                <c:pt idx="69">
                  <c:v>0.43</c:v>
                </c:pt>
                <c:pt idx="70">
                  <c:v>0.43</c:v>
                </c:pt>
                <c:pt idx="71">
                  <c:v>0.47</c:v>
                </c:pt>
                <c:pt idx="72">
                  <c:v>0.47</c:v>
                </c:pt>
                <c:pt idx="73">
                  <c:v>0.47</c:v>
                </c:pt>
                <c:pt idx="74">
                  <c:v>0.43</c:v>
                </c:pt>
                <c:pt idx="75">
                  <c:v>0.04</c:v>
                </c:pt>
                <c:pt idx="76">
                  <c:v>0.49</c:v>
                </c:pt>
                <c:pt idx="77">
                  <c:v>0.46</c:v>
                </c:pt>
                <c:pt idx="78">
                  <c:v>0.49</c:v>
                </c:pt>
                <c:pt idx="79">
                  <c:v>0.36</c:v>
                </c:pt>
                <c:pt idx="80">
                  <c:v>0.02</c:v>
                </c:pt>
                <c:pt idx="81">
                  <c:v>0.49</c:v>
                </c:pt>
                <c:pt idx="82">
                  <c:v>0.14000000000000001</c:v>
                </c:pt>
                <c:pt idx="83">
                  <c:v>0.49</c:v>
                </c:pt>
                <c:pt idx="84">
                  <c:v>0.11</c:v>
                </c:pt>
                <c:pt idx="85">
                  <c:v>0.14000000000000001</c:v>
                </c:pt>
                <c:pt idx="86">
                  <c:v>0.43</c:v>
                </c:pt>
                <c:pt idx="87">
                  <c:v>0.5</c:v>
                </c:pt>
                <c:pt idx="88">
                  <c:v>0.48</c:v>
                </c:pt>
                <c:pt idx="89">
                  <c:v>0.48</c:v>
                </c:pt>
                <c:pt idx="90">
                  <c:v>0.47</c:v>
                </c:pt>
                <c:pt idx="91">
                  <c:v>0.5</c:v>
                </c:pt>
                <c:pt idx="92">
                  <c:v>0.08</c:v>
                </c:pt>
                <c:pt idx="93">
                  <c:v>0.02</c:v>
                </c:pt>
                <c:pt idx="94">
                  <c:v>0.49</c:v>
                </c:pt>
                <c:pt idx="95">
                  <c:v>0.04</c:v>
                </c:pt>
                <c:pt idx="96">
                  <c:v>0.49</c:v>
                </c:pt>
                <c:pt idx="97">
                  <c:v>0.42</c:v>
                </c:pt>
                <c:pt idx="98">
                  <c:v>0.21</c:v>
                </c:pt>
                <c:pt idx="99">
                  <c:v>0.41</c:v>
                </c:pt>
                <c:pt idx="100">
                  <c:v>0.01</c:v>
                </c:pt>
                <c:pt idx="101">
                  <c:v>0.24</c:v>
                </c:pt>
                <c:pt idx="102">
                  <c:v>0.34</c:v>
                </c:pt>
                <c:pt idx="103">
                  <c:v>0.34</c:v>
                </c:pt>
                <c:pt idx="104">
                  <c:v>0.02</c:v>
                </c:pt>
                <c:pt idx="105">
                  <c:v>0.02</c:v>
                </c:pt>
                <c:pt idx="106">
                  <c:v>0.64</c:v>
                </c:pt>
                <c:pt idx="107">
                  <c:v>0.5</c:v>
                </c:pt>
                <c:pt idx="108">
                  <c:v>0.47</c:v>
                </c:pt>
                <c:pt idx="109">
                  <c:v>0.36385321100917423</c:v>
                </c:pt>
              </c:numCache>
            </c:numRef>
          </c:xVal>
          <c:yVal>
            <c:numRef>
              <c:f>Excel_jumia_dataset!$M$2:$M$111</c:f>
              <c:numCache>
                <c:formatCode>General</c:formatCode>
                <c:ptCount val="110"/>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2.5</c:v>
                </c:pt>
                <c:pt idx="59">
                  <c:v>3</c:v>
                </c:pt>
                <c:pt idx="60">
                  <c:v>2.1</c:v>
                </c:pt>
                <c:pt idx="61">
                  <c:v>2.8</c:v>
                </c:pt>
                <c:pt idx="62">
                  <c:v>2.7</c:v>
                </c:pt>
                <c:pt idx="63">
                  <c:v>2.9</c:v>
                </c:pt>
                <c:pt idx="64">
                  <c:v>2.2000000000000002</c:v>
                </c:pt>
                <c:pt idx="65">
                  <c:v>2.2999999999999998</c:v>
                </c:pt>
                <c:pt idx="66">
                  <c:v>3</c:v>
                </c:pt>
                <c:pt idx="67">
                  <c:v>2.6</c:v>
                </c:pt>
                <c:pt idx="68">
                  <c:v>3</c:v>
                </c:pt>
                <c:pt idx="69">
                  <c:v>2.2999999999999998</c:v>
                </c:pt>
                <c:pt idx="70">
                  <c:v>3</c:v>
                </c:pt>
                <c:pt idx="71">
                  <c:v>2.2000000000000002</c:v>
                </c:pt>
                <c:pt idx="72">
                  <c:v>2.1</c:v>
                </c:pt>
                <c:pt idx="73">
                  <c:v>0</c:v>
                </c:pt>
                <c:pt idx="74">
                  <c:v>0</c:v>
                </c:pt>
                <c:pt idx="75">
                  <c:v>0</c:v>
                </c:pt>
                <c:pt idx="76">
                  <c:v>0</c:v>
                </c:pt>
                <c:pt idx="77">
                  <c:v>3</c:v>
                </c:pt>
                <c:pt idx="78">
                  <c:v>5</c:v>
                </c:pt>
                <c:pt idx="79">
                  <c:v>0</c:v>
                </c:pt>
                <c:pt idx="80">
                  <c:v>0</c:v>
                </c:pt>
                <c:pt idx="81">
                  <c:v>4</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c:v>
                </c:pt>
                <c:pt idx="99">
                  <c:v>0</c:v>
                </c:pt>
                <c:pt idx="100">
                  <c:v>0</c:v>
                </c:pt>
                <c:pt idx="101">
                  <c:v>0</c:v>
                </c:pt>
                <c:pt idx="102">
                  <c:v>0</c:v>
                </c:pt>
                <c:pt idx="103">
                  <c:v>0</c:v>
                </c:pt>
                <c:pt idx="104">
                  <c:v>0</c:v>
                </c:pt>
                <c:pt idx="105">
                  <c:v>0</c:v>
                </c:pt>
                <c:pt idx="106">
                  <c:v>0</c:v>
                </c:pt>
                <c:pt idx="107">
                  <c:v>2</c:v>
                </c:pt>
                <c:pt idx="108">
                  <c:v>0</c:v>
                </c:pt>
                <c:pt idx="109">
                  <c:v>3.8894736842105258</c:v>
                </c:pt>
              </c:numCache>
            </c:numRef>
          </c:yVal>
          <c:smooth val="0"/>
          <c:extLst>
            <c:ext xmlns:c16="http://schemas.microsoft.com/office/drawing/2014/chart" uri="{C3380CC4-5D6E-409C-BE32-E72D297353CC}">
              <c16:uniqueId val="{00000000-B5A0-4AB8-A14E-A4E603306C12}"/>
            </c:ext>
          </c:extLst>
        </c:ser>
        <c:dLbls>
          <c:showLegendKey val="0"/>
          <c:showVal val="0"/>
          <c:showCatName val="0"/>
          <c:showSerName val="0"/>
          <c:showPercent val="0"/>
          <c:showBubbleSize val="0"/>
        </c:dLbls>
        <c:axId val="1790610032"/>
        <c:axId val="1790613392"/>
      </c:scatterChart>
      <c:valAx>
        <c:axId val="179061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3392"/>
        <c:crosses val="autoZero"/>
        <c:crossBetween val="midCat"/>
      </c:valAx>
      <c:valAx>
        <c:axId val="1790613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0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Rating vs Reviews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Excel_jumia_dataset!$M$1</c:f>
              <c:strCache>
                <c:ptCount val="1"/>
                <c:pt idx="0">
                  <c:v>Rating Std</c:v>
                </c:pt>
              </c:strCache>
            </c:strRef>
          </c:tx>
          <c:spPr>
            <a:ln w="19050" cap="rnd">
              <a:noFill/>
              <a:round/>
            </a:ln>
            <a:effectLst/>
          </c:spPr>
          <c:marker>
            <c:symbol val="circle"/>
            <c:size val="5"/>
            <c:spPr>
              <a:solidFill>
                <a:schemeClr val="accent4"/>
              </a:solidFill>
              <a:ln w="9525">
                <a:solidFill>
                  <a:schemeClr val="accent4"/>
                </a:solidFill>
              </a:ln>
              <a:effectLst/>
            </c:spPr>
          </c:marker>
          <c:xVal>
            <c:strRef>
              <c:f>Excel_jumia_dataset!$K$2:$K$111</c:f>
              <c:strCache>
                <c:ptCount val="110"/>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7">
                  <c:v>1</c:v>
                </c:pt>
                <c:pt idx="78">
                  <c:v>1</c:v>
                </c:pt>
                <c:pt idx="81">
                  <c:v>1</c:v>
                </c:pt>
                <c:pt idx="98">
                  <c:v>1</c:v>
                </c:pt>
                <c:pt idx="107">
                  <c:v>1</c:v>
                </c:pt>
                <c:pt idx="109">
                  <c:v>723</c:v>
                </c:pt>
              </c:strCache>
            </c:strRef>
          </c:xVal>
          <c:yVal>
            <c:numRef>
              <c:f>Excel_jumia_dataset!$M$2:$M$111</c:f>
              <c:numCache>
                <c:formatCode>General</c:formatCode>
                <c:ptCount val="110"/>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2.5</c:v>
                </c:pt>
                <c:pt idx="59">
                  <c:v>3</c:v>
                </c:pt>
                <c:pt idx="60">
                  <c:v>2.1</c:v>
                </c:pt>
                <c:pt idx="61">
                  <c:v>2.8</c:v>
                </c:pt>
                <c:pt idx="62">
                  <c:v>2.7</c:v>
                </c:pt>
                <c:pt idx="63">
                  <c:v>2.9</c:v>
                </c:pt>
                <c:pt idx="64">
                  <c:v>2.2000000000000002</c:v>
                </c:pt>
                <c:pt idx="65">
                  <c:v>2.2999999999999998</c:v>
                </c:pt>
                <c:pt idx="66">
                  <c:v>3</c:v>
                </c:pt>
                <c:pt idx="67">
                  <c:v>2.6</c:v>
                </c:pt>
                <c:pt idx="68">
                  <c:v>3</c:v>
                </c:pt>
                <c:pt idx="69">
                  <c:v>2.2999999999999998</c:v>
                </c:pt>
                <c:pt idx="70">
                  <c:v>3</c:v>
                </c:pt>
                <c:pt idx="71">
                  <c:v>2.2000000000000002</c:v>
                </c:pt>
                <c:pt idx="72">
                  <c:v>2.1</c:v>
                </c:pt>
                <c:pt idx="73">
                  <c:v>0</c:v>
                </c:pt>
                <c:pt idx="74">
                  <c:v>0</c:v>
                </c:pt>
                <c:pt idx="75">
                  <c:v>0</c:v>
                </c:pt>
                <c:pt idx="76">
                  <c:v>0</c:v>
                </c:pt>
                <c:pt idx="77">
                  <c:v>3</c:v>
                </c:pt>
                <c:pt idx="78">
                  <c:v>5</c:v>
                </c:pt>
                <c:pt idx="79">
                  <c:v>0</c:v>
                </c:pt>
                <c:pt idx="80">
                  <c:v>0</c:v>
                </c:pt>
                <c:pt idx="81">
                  <c:v>4</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5</c:v>
                </c:pt>
                <c:pt idx="99">
                  <c:v>0</c:v>
                </c:pt>
                <c:pt idx="100">
                  <c:v>0</c:v>
                </c:pt>
                <c:pt idx="101">
                  <c:v>0</c:v>
                </c:pt>
                <c:pt idx="102">
                  <c:v>0</c:v>
                </c:pt>
                <c:pt idx="103">
                  <c:v>0</c:v>
                </c:pt>
                <c:pt idx="104">
                  <c:v>0</c:v>
                </c:pt>
                <c:pt idx="105">
                  <c:v>0</c:v>
                </c:pt>
                <c:pt idx="106">
                  <c:v>0</c:v>
                </c:pt>
                <c:pt idx="107">
                  <c:v>2</c:v>
                </c:pt>
                <c:pt idx="108">
                  <c:v>0</c:v>
                </c:pt>
                <c:pt idx="109">
                  <c:v>3.8894736842105258</c:v>
                </c:pt>
              </c:numCache>
            </c:numRef>
          </c:yVal>
          <c:smooth val="0"/>
          <c:extLst>
            <c:ext xmlns:c16="http://schemas.microsoft.com/office/drawing/2014/chart" uri="{C3380CC4-5D6E-409C-BE32-E72D297353CC}">
              <c16:uniqueId val="{00000000-0537-4D8B-918E-3EECBDB1B79B}"/>
            </c:ext>
          </c:extLst>
        </c:ser>
        <c:dLbls>
          <c:showLegendKey val="0"/>
          <c:showVal val="0"/>
          <c:showCatName val="0"/>
          <c:showSerName val="0"/>
          <c:showPercent val="0"/>
          <c:showBubbleSize val="0"/>
        </c:dLbls>
        <c:axId val="1790611952"/>
        <c:axId val="1790587472"/>
      </c:scatterChart>
      <c:valAx>
        <c:axId val="1790611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87472"/>
        <c:crosses val="autoZero"/>
        <c:crossBetween val="midCat"/>
      </c:valAx>
      <c:valAx>
        <c:axId val="17905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1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[Cleaned_Dataset.xlsx]Prct Rating!PivotTable1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 RATING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'Prct Rating'!$B$3</c:f>
              <c:strCache>
                <c:ptCount val="1"/>
                <c:pt idx="0">
                  <c:v>Total</c:v>
                </c:pt>
              </c:strCache>
            </c:strRef>
          </c:tx>
          <c:spPr>
            <a:solidFill>
              <a:schemeClr val="accent4"/>
            </a:solidFill>
            <a:ln>
              <a:noFill/>
            </a:ln>
            <a:effectLst/>
          </c:spPr>
          <c:invertIfNegative val="0"/>
          <c:cat>
            <c:strRef>
              <c:f>'Prct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'Prct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1387-48C1-AC48-A733067B5EF4}"/>
            </c:ext>
          </c:extLst>
        </c:ser>
        <c:dLbls>
          <c:showLegendKey val="0"/>
          <c:showVal val="0"/>
          <c:showCatName val="0"/>
          <c:showSerName val="0"/>
          <c:showPercent val="0"/>
          <c:showBubbleSize val="0"/>
        </c:dLbls>
        <c:gapWidth val="219"/>
        <c:overlap val="-27"/>
        <c:axId val="1790597552"/>
        <c:axId val="1790616752"/>
      </c:barChart>
      <c:catAx>
        <c:axId val="17905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16752"/>
        <c:crosses val="autoZero"/>
        <c:auto val="1"/>
        <c:lblAlgn val="ctr"/>
        <c:lblOffset val="100"/>
        <c:noMultiLvlLbl val="0"/>
      </c:catAx>
      <c:valAx>
        <c:axId val="179061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9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[Cleaned_Dataset.xlsx]Prct Review!PivotTable2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 Product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'Prct Review'!$B$3</c:f>
              <c:strCache>
                <c:ptCount val="1"/>
                <c:pt idx="0">
                  <c:v>Total</c:v>
                </c:pt>
              </c:strCache>
            </c:strRef>
          </c:tx>
          <c:spPr>
            <a:solidFill>
              <a:schemeClr val="accent4"/>
            </a:solidFill>
            <a:ln>
              <a:noFill/>
            </a:ln>
            <a:effectLst/>
          </c:spPr>
          <c:invertIfNegative val="0"/>
          <c:cat>
            <c:strRef>
              <c:f>'Prct Review'!$A$4:$A$14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'Prct Review'!$B$4:$B$14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A161-4701-BFDE-AC0194E8638F}"/>
            </c:ext>
          </c:extLst>
        </c:ser>
        <c:dLbls>
          <c:showLegendKey val="0"/>
          <c:showVal val="0"/>
          <c:showCatName val="0"/>
          <c:showSerName val="0"/>
          <c:showPercent val="0"/>
          <c:showBubbleSize val="0"/>
        </c:dLbls>
        <c:gapWidth val="219"/>
        <c:overlap val="-27"/>
        <c:axId val="1790636432"/>
        <c:axId val="1790623472"/>
      </c:barChart>
      <c:catAx>
        <c:axId val="179063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23472"/>
        <c:crosses val="autoZero"/>
        <c:auto val="1"/>
        <c:lblAlgn val="ctr"/>
        <c:lblOffset val="100"/>
        <c:noMultiLvlLbl val="0"/>
      </c:catAx>
      <c:valAx>
        <c:axId val="179062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[Cleaned_Dataset.xlsx]Rating Cat!PivotTable4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Product Rating Category</a:t>
            </a:r>
            <a:endParaRPr lang="en-US" b="1">
              <a:solidFill>
                <a:srgbClr val="FF0000"/>
              </a:solidFill>
            </a:endParaRPr>
          </a:p>
        </c:rich>
      </c:tx>
      <c:layout>
        <c:manualLayout>
          <c:xMode val="edge"/>
          <c:yMode val="edge"/>
          <c:x val="0.3424179790026247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hade val="86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s>
    <c:plotArea>
      <c:layout/>
      <c:pieChart>
        <c:varyColors val="1"/>
        <c:ser>
          <c:idx val="0"/>
          <c:order val="0"/>
          <c:tx>
            <c:strRef>
              <c:f>'Rating Cat'!$B$3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5830-4983-AE21-F8115095EA87}"/>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5830-4983-AE21-F8115095EA87}"/>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5830-4983-AE21-F8115095EA87}"/>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5830-4983-AE21-F8115095EA87}"/>
              </c:ext>
            </c:extLst>
          </c:dPt>
          <c:cat>
            <c:strRef>
              <c:f>'Rating Cat'!$A$4:$A$8</c:f>
              <c:strCache>
                <c:ptCount val="4"/>
                <c:pt idx="1">
                  <c:v>Average</c:v>
                </c:pt>
                <c:pt idx="2">
                  <c:v>Excellent</c:v>
                </c:pt>
                <c:pt idx="3">
                  <c:v>Poor</c:v>
                </c:pt>
              </c:strCache>
            </c:strRef>
          </c:cat>
          <c:val>
            <c:numRef>
              <c:f>'Rating Cat'!$B$4:$B$8</c:f>
              <c:numCache>
                <c:formatCode>General</c:formatCode>
                <c:ptCount val="4"/>
                <c:pt idx="0">
                  <c:v>52</c:v>
                </c:pt>
                <c:pt idx="1">
                  <c:v>22</c:v>
                </c:pt>
                <c:pt idx="2">
                  <c:v>23</c:v>
                </c:pt>
                <c:pt idx="3">
                  <c:v>12</c:v>
                </c:pt>
              </c:numCache>
            </c:numRef>
          </c:val>
          <c:extLst>
            <c:ext xmlns:c16="http://schemas.microsoft.com/office/drawing/2014/chart" uri="{C3380CC4-5D6E-409C-BE32-E72D297353CC}">
              <c16:uniqueId val="{00000000-1DBB-4FC0-814D-95CCC6C2324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66666666663"/>
          <c:y val="0.41629520268299797"/>
          <c:w val="0.22321428571428575"/>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[Cleaned_Dataset.xlsx]Pdrct Disc!PivotTable10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Product Discount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pieChart>
        <c:varyColors val="1"/>
        <c:ser>
          <c:idx val="0"/>
          <c:order val="0"/>
          <c:tx>
            <c:strRef>
              <c:f>'Pdrct Disc'!$B$3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611D-4400-9B74-899D17539AF7}"/>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611D-4400-9B74-899D17539AF7}"/>
              </c:ext>
            </c:extLst>
          </c:dPt>
          <c:dPt>
            <c:idx val="2"/>
            <c:bubble3D val="0"/>
            <c:spPr>
              <a:solidFill>
                <a:schemeClr val="accent4">
                  <a:tint val="65000"/>
                </a:schemeClr>
              </a:solidFill>
              <a:ln w="19050">
                <a:solidFill>
                  <a:schemeClr val="lt1"/>
                </a:solidFill>
              </a:ln>
              <a:effectLst/>
            </c:spPr>
          </c:dPt>
          <c:cat>
            <c:strRef>
              <c:f>'Pdrct Disc'!$A$4:$A$7</c:f>
              <c:strCache>
                <c:ptCount val="3"/>
                <c:pt idx="0">
                  <c:v>High</c:v>
                </c:pt>
                <c:pt idx="1">
                  <c:v>Low</c:v>
                </c:pt>
                <c:pt idx="2">
                  <c:v>Medium</c:v>
                </c:pt>
              </c:strCache>
            </c:strRef>
          </c:cat>
          <c:val>
            <c:numRef>
              <c:f>'Pdrct Disc'!$B$4:$B$7</c:f>
              <c:numCache>
                <c:formatCode>General</c:formatCode>
                <c:ptCount val="3"/>
                <c:pt idx="0">
                  <c:v>58</c:v>
                </c:pt>
                <c:pt idx="1">
                  <c:v>18</c:v>
                </c:pt>
                <c:pt idx="2">
                  <c:v>32</c:v>
                </c:pt>
              </c:numCache>
            </c:numRef>
          </c:val>
          <c:extLst>
            <c:ext xmlns:c16="http://schemas.microsoft.com/office/drawing/2014/chart" uri="{C3380CC4-5D6E-409C-BE32-E72D297353CC}">
              <c16:uniqueId val="{00000000-48A1-4B28-B674-A8AA88A0BD9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91666666666667"/>
          <c:y val="0.44146908719743366"/>
          <c:w val="0.23655913978494622"/>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360349</xdr:colOff>
      <xdr:row>0</xdr:row>
      <xdr:rowOff>162928</xdr:rowOff>
    </xdr:from>
    <xdr:to>
      <xdr:col>15</xdr:col>
      <xdr:colOff>64576</xdr:colOff>
      <xdr:row>3</xdr:row>
      <xdr:rowOff>75002</xdr:rowOff>
    </xdr:to>
    <xdr:sp macro="" textlink="">
      <xdr:nvSpPr>
        <xdr:cNvPr id="2" name="Rectangle: Rounded Corners 1">
          <a:extLst>
            <a:ext uri="{FF2B5EF4-FFF2-40B4-BE49-F238E27FC236}">
              <a16:creationId xmlns:a16="http://schemas.microsoft.com/office/drawing/2014/main" id="{E152EF1A-04AA-633E-5F82-E892AD7318AD}"/>
            </a:ext>
          </a:extLst>
        </xdr:cNvPr>
        <xdr:cNvSpPr/>
      </xdr:nvSpPr>
      <xdr:spPr>
        <a:xfrm>
          <a:off x="3427722" y="162928"/>
          <a:ext cx="5838973" cy="49326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1">
              <a:solidFill>
                <a:schemeClr val="lt1"/>
              </a:solidFill>
              <a:effectLst/>
              <a:latin typeface="+mn-lt"/>
              <a:ea typeface="+mn-ea"/>
              <a:cs typeface="+mn-cs"/>
            </a:rPr>
            <a:t>JUMIA PRODUCT PERFORMANCE EXPLORER</a:t>
          </a:r>
          <a:endParaRPr lang="en-US" sz="24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2400" b="1"/>
        </a:p>
      </xdr:txBody>
    </xdr:sp>
    <xdr:clientData/>
  </xdr:twoCellAnchor>
  <xdr:twoCellAnchor>
    <xdr:from>
      <xdr:col>4</xdr:col>
      <xdr:colOff>380896</xdr:colOff>
      <xdr:row>4</xdr:row>
      <xdr:rowOff>0</xdr:rowOff>
    </xdr:from>
    <xdr:to>
      <xdr:col>8</xdr:col>
      <xdr:colOff>30443</xdr:colOff>
      <xdr:row>6</xdr:row>
      <xdr:rowOff>150048</xdr:rowOff>
    </xdr:to>
    <xdr:sp macro="" textlink="">
      <xdr:nvSpPr>
        <xdr:cNvPr id="3" name="Rectangle: Rounded Corners 2">
          <a:extLst>
            <a:ext uri="{FF2B5EF4-FFF2-40B4-BE49-F238E27FC236}">
              <a16:creationId xmlns:a16="http://schemas.microsoft.com/office/drawing/2014/main" id="{604851A3-B0EA-AC3C-257A-7F7AD38BAAC3}"/>
            </a:ext>
          </a:extLst>
        </xdr:cNvPr>
        <xdr:cNvSpPr/>
      </xdr:nvSpPr>
      <xdr:spPr>
        <a:xfrm>
          <a:off x="2837343" y="751974"/>
          <a:ext cx="2105995" cy="52603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a:t>
          </a:r>
          <a:r>
            <a:rPr lang="en-US" sz="1100" b="1" baseline="0"/>
            <a:t> NUMBER OF PRODUCTS 109</a:t>
          </a:r>
          <a:endParaRPr lang="en-US" sz="1100" b="1"/>
        </a:p>
      </xdr:txBody>
    </xdr:sp>
    <xdr:clientData/>
  </xdr:twoCellAnchor>
  <xdr:twoCellAnchor>
    <xdr:from>
      <xdr:col>8</xdr:col>
      <xdr:colOff>98155</xdr:colOff>
      <xdr:row>4</xdr:row>
      <xdr:rowOff>16646</xdr:rowOff>
    </xdr:from>
    <xdr:to>
      <xdr:col>10</xdr:col>
      <xdr:colOff>460104</xdr:colOff>
      <xdr:row>6</xdr:row>
      <xdr:rowOff>127990</xdr:rowOff>
    </xdr:to>
    <xdr:sp macro="" textlink="">
      <xdr:nvSpPr>
        <xdr:cNvPr id="4" name="Rectangle: Rounded Corners 3">
          <a:extLst>
            <a:ext uri="{FF2B5EF4-FFF2-40B4-BE49-F238E27FC236}">
              <a16:creationId xmlns:a16="http://schemas.microsoft.com/office/drawing/2014/main" id="{BF1E2A25-9CB2-4034-8B44-877CE52AE8D7}"/>
            </a:ext>
          </a:extLst>
        </xdr:cNvPr>
        <xdr:cNvSpPr/>
      </xdr:nvSpPr>
      <xdr:spPr>
        <a:xfrm>
          <a:off x="5011050" y="768620"/>
          <a:ext cx="1590172" cy="487331"/>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AVERAGE RATING</a:t>
          </a:r>
        </a:p>
        <a:p>
          <a:pPr algn="l"/>
          <a:r>
            <a:rPr lang="en-US" sz="1100" b="1"/>
            <a:t>3.9</a:t>
          </a:r>
        </a:p>
      </xdr:txBody>
    </xdr:sp>
    <xdr:clientData/>
  </xdr:twoCellAnchor>
  <xdr:twoCellAnchor>
    <xdr:from>
      <xdr:col>10</xdr:col>
      <xdr:colOff>511238</xdr:colOff>
      <xdr:row>3</xdr:row>
      <xdr:rowOff>182582</xdr:rowOff>
    </xdr:from>
    <xdr:to>
      <xdr:col>13</xdr:col>
      <xdr:colOff>263588</xdr:colOff>
      <xdr:row>6</xdr:row>
      <xdr:rowOff>112795</xdr:rowOff>
    </xdr:to>
    <xdr:sp macro="" textlink="">
      <xdr:nvSpPr>
        <xdr:cNvPr id="5" name="Rectangle: Rounded Corners 4">
          <a:extLst>
            <a:ext uri="{FF2B5EF4-FFF2-40B4-BE49-F238E27FC236}">
              <a16:creationId xmlns:a16="http://schemas.microsoft.com/office/drawing/2014/main" id="{36EB245B-992D-4909-B08B-8D66FBB3DFF7}"/>
            </a:ext>
          </a:extLst>
        </xdr:cNvPr>
        <xdr:cNvSpPr/>
      </xdr:nvSpPr>
      <xdr:spPr>
        <a:xfrm>
          <a:off x="6652356" y="746562"/>
          <a:ext cx="1594686" cy="494194"/>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AVERAGE DISCOUNT</a:t>
          </a:r>
          <a:r>
            <a:rPr lang="en-US" sz="1100" b="1" baseline="0"/>
            <a:t> %</a:t>
          </a:r>
        </a:p>
        <a:p>
          <a:pPr algn="l"/>
          <a:r>
            <a:rPr lang="en-US" sz="1100" b="1" baseline="0"/>
            <a:t>36%</a:t>
          </a:r>
          <a:endParaRPr lang="en-US" sz="1100" b="1"/>
        </a:p>
      </xdr:txBody>
    </xdr:sp>
    <xdr:clientData/>
  </xdr:twoCellAnchor>
  <xdr:twoCellAnchor>
    <xdr:from>
      <xdr:col>13</xdr:col>
      <xdr:colOff>311214</xdr:colOff>
      <xdr:row>3</xdr:row>
      <xdr:rowOff>176668</xdr:rowOff>
    </xdr:from>
    <xdr:to>
      <xdr:col>16</xdr:col>
      <xdr:colOff>63564</xdr:colOff>
      <xdr:row>6</xdr:row>
      <xdr:rowOff>100018</xdr:rowOff>
    </xdr:to>
    <xdr:sp macro="" textlink="">
      <xdr:nvSpPr>
        <xdr:cNvPr id="6" name="Rectangle: Rounded Corners 5">
          <a:extLst>
            <a:ext uri="{FF2B5EF4-FFF2-40B4-BE49-F238E27FC236}">
              <a16:creationId xmlns:a16="http://schemas.microsoft.com/office/drawing/2014/main" id="{18934B6B-6407-435D-AE2A-5EE0452A1CEB}"/>
            </a:ext>
          </a:extLst>
        </xdr:cNvPr>
        <xdr:cNvSpPr/>
      </xdr:nvSpPr>
      <xdr:spPr>
        <a:xfrm>
          <a:off x="8286383" y="757854"/>
          <a:ext cx="1592774" cy="504537"/>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 REVIEWS</a:t>
          </a:r>
        </a:p>
        <a:p>
          <a:pPr algn="l"/>
          <a:r>
            <a:rPr lang="en-US" sz="1100" b="1"/>
            <a:t>723</a:t>
          </a:r>
        </a:p>
      </xdr:txBody>
    </xdr:sp>
    <xdr:clientData/>
  </xdr:twoCellAnchor>
  <xdr:twoCellAnchor editAs="oneCell">
    <xdr:from>
      <xdr:col>0</xdr:col>
      <xdr:colOff>209550</xdr:colOff>
      <xdr:row>7</xdr:row>
      <xdr:rowOff>47626</xdr:rowOff>
    </xdr:from>
    <xdr:to>
      <xdr:col>3</xdr:col>
      <xdr:colOff>209550</xdr:colOff>
      <xdr:row>17</xdr:row>
      <xdr:rowOff>104776</xdr:rowOff>
    </xdr:to>
    <mc:AlternateContent xmlns:mc="http://schemas.openxmlformats.org/markup-compatibility/2006" xmlns:a14="http://schemas.microsoft.com/office/drawing/2010/main">
      <mc:Choice Requires="a14">
        <xdr:graphicFrame macro="">
          <xdr:nvGraphicFramePr>
            <xdr:cNvPr id="7" name="Product Type 1">
              <a:extLst>
                <a:ext uri="{FF2B5EF4-FFF2-40B4-BE49-F238E27FC236}">
                  <a16:creationId xmlns:a16="http://schemas.microsoft.com/office/drawing/2014/main" id="{47461360-8D05-4A44-B90E-8D5B7E97B00F}"/>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209550" y="1363580"/>
              <a:ext cx="1842336" cy="1937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17</xdr:row>
      <xdr:rowOff>142875</xdr:rowOff>
    </xdr:from>
    <xdr:to>
      <xdr:col>3</xdr:col>
      <xdr:colOff>200025</xdr:colOff>
      <xdr:row>23</xdr:row>
      <xdr:rowOff>171450</xdr:rowOff>
    </xdr:to>
    <mc:AlternateContent xmlns:mc="http://schemas.openxmlformats.org/markup-compatibility/2006" xmlns:a14="http://schemas.microsoft.com/office/drawing/2010/main">
      <mc:Choice Requires="a14">
        <xdr:graphicFrame macro="">
          <xdr:nvGraphicFramePr>
            <xdr:cNvPr id="8" name="Discount Category 1">
              <a:extLst>
                <a:ext uri="{FF2B5EF4-FFF2-40B4-BE49-F238E27FC236}">
                  <a16:creationId xmlns:a16="http://schemas.microsoft.com/office/drawing/2014/main" id="{D75E2341-CA64-48E0-87CD-628DD0DCB802}"/>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200025" y="3338763"/>
              <a:ext cx="1842336" cy="1156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24</xdr:row>
      <xdr:rowOff>38102</xdr:rowOff>
    </xdr:from>
    <xdr:to>
      <xdr:col>3</xdr:col>
      <xdr:colOff>190500</xdr:colOff>
      <xdr:row>31</xdr:row>
      <xdr:rowOff>65691</xdr:rowOff>
    </xdr:to>
    <mc:AlternateContent xmlns:mc="http://schemas.openxmlformats.org/markup-compatibility/2006" xmlns:a14="http://schemas.microsoft.com/office/drawing/2010/main">
      <mc:Choice Requires="a14">
        <xdr:graphicFrame macro="">
          <xdr:nvGraphicFramePr>
            <xdr:cNvPr id="9" name="Rating 1">
              <a:extLst>
                <a:ext uri="{FF2B5EF4-FFF2-40B4-BE49-F238E27FC236}">
                  <a16:creationId xmlns:a16="http://schemas.microsoft.com/office/drawing/2014/main" id="{7EE1F548-3478-45F1-AA0C-72A0C56327EF}"/>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90500" y="4549944"/>
              <a:ext cx="1842336" cy="1343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7</xdr:row>
      <xdr:rowOff>38100</xdr:rowOff>
    </xdr:from>
    <xdr:to>
      <xdr:col>8</xdr:col>
      <xdr:colOff>503465</xdr:colOff>
      <xdr:row>19</xdr:row>
      <xdr:rowOff>149679</xdr:rowOff>
    </xdr:to>
    <xdr:graphicFrame macro="">
      <xdr:nvGraphicFramePr>
        <xdr:cNvPr id="10" name="Chart 9">
          <a:extLst>
            <a:ext uri="{FF2B5EF4-FFF2-40B4-BE49-F238E27FC236}">
              <a16:creationId xmlns:a16="http://schemas.microsoft.com/office/drawing/2014/main" id="{09815B6E-C0AE-4041-8CCD-EDD2814B4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556532</xdr:colOff>
      <xdr:row>7</xdr:row>
      <xdr:rowOff>28575</xdr:rowOff>
    </xdr:from>
    <xdr:to>
      <xdr:col>15</xdr:col>
      <xdr:colOff>176893</xdr:colOff>
      <xdr:row>19</xdr:row>
      <xdr:rowOff>149679</xdr:rowOff>
    </xdr:to>
    <xdr:graphicFrame macro="">
      <xdr:nvGraphicFramePr>
        <xdr:cNvPr id="11" name="Chart 10">
          <a:extLst>
            <a:ext uri="{FF2B5EF4-FFF2-40B4-BE49-F238E27FC236}">
              <a16:creationId xmlns:a16="http://schemas.microsoft.com/office/drawing/2014/main" id="{5456DE88-9F31-4639-BA6D-630EA37C7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253916</xdr:colOff>
      <xdr:row>20</xdr:row>
      <xdr:rowOff>0</xdr:rowOff>
    </xdr:from>
    <xdr:to>
      <xdr:col>8</xdr:col>
      <xdr:colOff>489858</xdr:colOff>
      <xdr:row>31</xdr:row>
      <xdr:rowOff>40821</xdr:rowOff>
    </xdr:to>
    <xdr:graphicFrame macro="">
      <xdr:nvGraphicFramePr>
        <xdr:cNvPr id="12" name="Chart 11">
          <a:extLst>
            <a:ext uri="{FF2B5EF4-FFF2-40B4-BE49-F238E27FC236}">
              <a16:creationId xmlns:a16="http://schemas.microsoft.com/office/drawing/2014/main" id="{142D98E9-F9A1-4226-A9A5-058D77B2E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585108</xdr:colOff>
      <xdr:row>20</xdr:row>
      <xdr:rowOff>22851</xdr:rowOff>
    </xdr:from>
    <xdr:to>
      <xdr:col>15</xdr:col>
      <xdr:colOff>176893</xdr:colOff>
      <xdr:row>31</xdr:row>
      <xdr:rowOff>0</xdr:rowOff>
    </xdr:to>
    <xdr:graphicFrame macro="">
      <xdr:nvGraphicFramePr>
        <xdr:cNvPr id="13" name="Chart 12">
          <a:extLst>
            <a:ext uri="{FF2B5EF4-FFF2-40B4-BE49-F238E27FC236}">
              <a16:creationId xmlns:a16="http://schemas.microsoft.com/office/drawing/2014/main" id="{E1176F42-B824-4076-9A85-8773E5AA8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254925</xdr:colOff>
      <xdr:row>20</xdr:row>
      <xdr:rowOff>1</xdr:rowOff>
    </xdr:from>
    <xdr:to>
      <xdr:col>21</xdr:col>
      <xdr:colOff>91639</xdr:colOff>
      <xdr:row>31</xdr:row>
      <xdr:rowOff>1</xdr:rowOff>
    </xdr:to>
    <xdr:graphicFrame macro="">
      <xdr:nvGraphicFramePr>
        <xdr:cNvPr id="14" name="Chart 13">
          <a:extLst>
            <a:ext uri="{FF2B5EF4-FFF2-40B4-BE49-F238E27FC236}">
              <a16:creationId xmlns:a16="http://schemas.microsoft.com/office/drawing/2014/main" id="{B89AB973-488E-48D8-9C1D-6E946328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238126</xdr:colOff>
      <xdr:row>7</xdr:row>
      <xdr:rowOff>37599</xdr:rowOff>
    </xdr:from>
    <xdr:to>
      <xdr:col>21</xdr:col>
      <xdr:colOff>75199</xdr:colOff>
      <xdr:row>19</xdr:row>
      <xdr:rowOff>137862</xdr:rowOff>
    </xdr:to>
    <xdr:graphicFrame macro="">
      <xdr:nvGraphicFramePr>
        <xdr:cNvPr id="16" name="Chart 15">
          <a:extLst>
            <a:ext uri="{FF2B5EF4-FFF2-40B4-BE49-F238E27FC236}">
              <a16:creationId xmlns:a16="http://schemas.microsoft.com/office/drawing/2014/main" id="{E5F4414D-2669-443F-93F8-F6399F210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32349</xdr:colOff>
      <xdr:row>1</xdr:row>
      <xdr:rowOff>52655</xdr:rowOff>
    </xdr:from>
    <xdr:to>
      <xdr:col>22</xdr:col>
      <xdr:colOff>327085</xdr:colOff>
      <xdr:row>15</xdr:row>
      <xdr:rowOff>154016</xdr:rowOff>
    </xdr:to>
    <xdr:graphicFrame macro="">
      <xdr:nvGraphicFramePr>
        <xdr:cNvPr id="3" name="Chart 2">
          <a:extLst>
            <a:ext uri="{FF2B5EF4-FFF2-40B4-BE49-F238E27FC236}">
              <a16:creationId xmlns:a16="http://schemas.microsoft.com/office/drawing/2014/main" id="{B9580A3F-F4F3-F16F-B5EF-B32C65B48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23362</xdr:colOff>
      <xdr:row>16</xdr:row>
      <xdr:rowOff>61643</xdr:rowOff>
    </xdr:from>
    <xdr:to>
      <xdr:col>22</xdr:col>
      <xdr:colOff>318098</xdr:colOff>
      <xdr:row>30</xdr:row>
      <xdr:rowOff>163003</xdr:rowOff>
    </xdr:to>
    <xdr:graphicFrame macro="">
      <xdr:nvGraphicFramePr>
        <xdr:cNvPr id="5" name="Chart 4">
          <a:extLst>
            <a:ext uri="{FF2B5EF4-FFF2-40B4-BE49-F238E27FC236}">
              <a16:creationId xmlns:a16="http://schemas.microsoft.com/office/drawing/2014/main" id="{2A4372A1-5A05-9462-9122-0EC1046B2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123825</xdr:colOff>
      <xdr:row>2</xdr:row>
      <xdr:rowOff>138112</xdr:rowOff>
    </xdr:from>
    <xdr:to>
      <xdr:col>9</xdr:col>
      <xdr:colOff>428625</xdr:colOff>
      <xdr:row>17</xdr:row>
      <xdr:rowOff>23812</xdr:rowOff>
    </xdr:to>
    <xdr:graphicFrame macro="">
      <xdr:nvGraphicFramePr>
        <xdr:cNvPr id="2" name="Chart 1">
          <a:extLst>
            <a:ext uri="{FF2B5EF4-FFF2-40B4-BE49-F238E27FC236}">
              <a16:creationId xmlns:a16="http://schemas.microsoft.com/office/drawing/2014/main" id="{DDCCE34F-ECF1-4CD7-57F5-15E7A427A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4</xdr:row>
      <xdr:rowOff>166687</xdr:rowOff>
    </xdr:from>
    <xdr:to>
      <xdr:col>9</xdr:col>
      <xdr:colOff>381000</xdr:colOff>
      <xdr:row>19</xdr:row>
      <xdr:rowOff>52387</xdr:rowOff>
    </xdr:to>
    <xdr:graphicFrame macro="">
      <xdr:nvGraphicFramePr>
        <xdr:cNvPr id="2" name="Chart 1">
          <a:extLst>
            <a:ext uri="{FF2B5EF4-FFF2-40B4-BE49-F238E27FC236}">
              <a16:creationId xmlns:a16="http://schemas.microsoft.com/office/drawing/2014/main" id="{BFC7F4A0-F6DA-91A2-7364-37EB01A3D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304800</xdr:colOff>
      <xdr:row>3</xdr:row>
      <xdr:rowOff>23812</xdr:rowOff>
    </xdr:from>
    <xdr:to>
      <xdr:col>9</xdr:col>
      <xdr:colOff>304800</xdr:colOff>
      <xdr:row>17</xdr:row>
      <xdr:rowOff>100012</xdr:rowOff>
    </xdr:to>
    <xdr:graphicFrame macro="">
      <xdr:nvGraphicFramePr>
        <xdr:cNvPr id="2" name="Chart 1">
          <a:extLst>
            <a:ext uri="{FF2B5EF4-FFF2-40B4-BE49-F238E27FC236}">
              <a16:creationId xmlns:a16="http://schemas.microsoft.com/office/drawing/2014/main" id="{31860ACF-3F8A-300C-5555-5D33B2EDB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857250</xdr:colOff>
      <xdr:row>9</xdr:row>
      <xdr:rowOff>38100</xdr:rowOff>
    </xdr:from>
    <xdr:to>
      <xdr:col>3</xdr:col>
      <xdr:colOff>133350</xdr:colOff>
      <xdr:row>22</xdr:row>
      <xdr:rowOff>85725</xdr:rowOff>
    </xdr:to>
    <mc:AlternateContent xmlns:mc="http://schemas.openxmlformats.org/markup-compatibility/2006" xmlns:a14="http://schemas.microsoft.com/office/drawing/2010/main">
      <mc:Choice Requires="a14">
        <xdr:graphicFrame macro="">
          <xdr:nvGraphicFramePr>
            <xdr:cNvPr id="3" name="Rating">
              <a:extLst>
                <a:ext uri="{FF2B5EF4-FFF2-40B4-BE49-F238E27FC236}">
                  <a16:creationId xmlns:a16="http://schemas.microsoft.com/office/drawing/2014/main" id="{E331B36F-1752-78E3-0E7E-F9882C191B4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857250" y="175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285750</xdr:colOff>
      <xdr:row>4</xdr:row>
      <xdr:rowOff>14287</xdr:rowOff>
    </xdr:from>
    <xdr:to>
      <xdr:col>9</xdr:col>
      <xdr:colOff>447675</xdr:colOff>
      <xdr:row>18</xdr:row>
      <xdr:rowOff>90487</xdr:rowOff>
    </xdr:to>
    <xdr:graphicFrame macro="">
      <xdr:nvGraphicFramePr>
        <xdr:cNvPr id="2" name="Chart 1">
          <a:extLst>
            <a:ext uri="{FF2B5EF4-FFF2-40B4-BE49-F238E27FC236}">
              <a16:creationId xmlns:a16="http://schemas.microsoft.com/office/drawing/2014/main" id="{7D033D3C-E7F2-F995-EA27-748224561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714375</xdr:colOff>
      <xdr:row>8</xdr:row>
      <xdr:rowOff>0</xdr:rowOff>
    </xdr:from>
    <xdr:to>
      <xdr:col>2</xdr:col>
      <xdr:colOff>600075</xdr:colOff>
      <xdr:row>21</xdr:row>
      <xdr:rowOff>47625</xdr:rowOff>
    </xdr:to>
    <mc:AlternateContent xmlns:mc="http://schemas.openxmlformats.org/markup-compatibility/2006" xmlns:a14="http://schemas.microsoft.com/office/drawing/2010/main">
      <mc:Choice Requires="a14">
        <xdr:graphicFrame macro="">
          <xdr:nvGraphicFramePr>
            <xdr:cNvPr id="3" name="Discount Category">
              <a:extLst>
                <a:ext uri="{FF2B5EF4-FFF2-40B4-BE49-F238E27FC236}">
                  <a16:creationId xmlns:a16="http://schemas.microsoft.com/office/drawing/2014/main" id="{2C34F0AF-D7D7-2D79-9396-E0B86ECD26D8}"/>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714375" y="1524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447675</xdr:colOff>
      <xdr:row>4</xdr:row>
      <xdr:rowOff>38100</xdr:rowOff>
    </xdr:from>
    <xdr:to>
      <xdr:col>6</xdr:col>
      <xdr:colOff>447675</xdr:colOff>
      <xdr:row>17</xdr:row>
      <xdr:rowOff>85725</xdr:rowOff>
    </xdr:to>
    <mc:AlternateContent xmlns:mc="http://schemas.openxmlformats.org/markup-compatibility/2006" xmlns:a14="http://schemas.microsoft.com/office/drawing/2010/main">
      <mc:Choice Requires="a14">
        <xdr:graphicFrame macro="">
          <xdr:nvGraphicFramePr>
            <xdr:cNvPr id="2" name="Product Type">
              <a:extLst>
                <a:ext uri="{FF2B5EF4-FFF2-40B4-BE49-F238E27FC236}">
                  <a16:creationId xmlns:a16="http://schemas.microsoft.com/office/drawing/2014/main" id="{41A11996-9926-1E95-426A-62E3C5EE8C14}"/>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3067050" y="800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7.558900231481" createdVersion="8" refreshedVersion="8" minRefreshableVersion="3" recordCount="109" xr:uid="{72C6CA32-1A00-4F88-8349-CA115F11CEFD}">
  <cacheSource type="worksheet">
    <worksheetSource ref="A1:N110" sheet="Excel_jumia_dataset"/>
  </cacheSource>
  <cacheFields count="12">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acheField>
    <cacheField name="Current price Num" numFmtId="0">
      <sharedItems containsSemiMixedTypes="0" containsString="0" containsNumber="1" containsInteger="1" minValue="38" maxValue="3750"/>
    </cacheField>
    <cacheField name="old price" numFmtId="0">
      <sharedItems/>
    </cacheField>
    <cacheField name="Old Price Num" numFmtId="0">
      <sharedItems containsSemiMixedTypes="0" containsString="0" containsNumber="1" containsInteger="1" minValue="80" maxValue="6143"/>
    </cacheField>
    <cacheField name="Abs Discount" numFmtId="0">
      <sharedItems containsSemiMixedTypes="0" containsString="0" containsNumber="1" containsInteger="1" minValue="24" maxValue="2585" count="100">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330"/>
        <n v="528"/>
        <n v="2585"/>
        <n v="428"/>
        <n v="355"/>
        <n v="335"/>
        <n v="824"/>
        <n v="1000"/>
        <n v="2393"/>
        <n v="318"/>
        <n v="940"/>
        <n v="257"/>
        <n v="390"/>
        <n v="846"/>
        <n v="1418"/>
        <n v="695"/>
        <n v="67"/>
        <n v="220"/>
        <n v="1010"/>
        <n v="941"/>
        <n v="830"/>
        <n v="33"/>
        <n v="317"/>
        <n v="233"/>
        <n v="263"/>
        <n v="101"/>
        <n v="231"/>
        <n v="850"/>
        <n v="1200"/>
        <n v="95"/>
        <n v="800"/>
        <n v="134"/>
        <n v="153"/>
        <n v="504"/>
        <n v="794"/>
        <n v="948"/>
        <n v="24"/>
        <n v="62"/>
        <n v="587"/>
        <n v="620"/>
        <n v="41"/>
        <n v="31"/>
        <n v="354"/>
        <n v="151"/>
      </sharedItems>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String="0" containsBlank="1" containsNumber="1" containsInteger="1" minValue="-69" maxValue="-1"/>
    </cacheField>
    <cacheField name="Reviews" numFmtId="0">
      <sharedItems containsSemiMixedTypes="0" containsString="0" containsNumber="1" containsInteger="1" minValue="0" maxValue="69"/>
    </cacheField>
    <cacheField name="Rating" numFmtId="0">
      <sharedItems containsBlank="1" count="23">
        <s v="4.5 out of 5"/>
        <s v="4.1 out of 5"/>
        <s v="4.6 out of 5"/>
        <s v="4.7 out of 5"/>
        <s v="4.8 out of 5"/>
        <s v="4 out of 5"/>
        <s v="3.8 out of 5"/>
        <s v="4.2 out of 5"/>
        <s v="5 out of 5"/>
        <s v="3.3 out of 5"/>
        <m/>
        <s v="4.4 out of 5"/>
        <s v="4.3 out of 5"/>
        <s v="2.5 out of 5"/>
        <s v="3 out of 5"/>
        <s v="2.1 out of 5"/>
        <s v="2.8 out of 5"/>
        <s v="2.7 out of 5"/>
        <s v="2.9 out of 5"/>
        <s v="2.2 out of 5"/>
        <s v="2.3 out of 5"/>
        <s v="2.6 out of 5"/>
        <s v="2 out of 5"/>
      </sharedItems>
    </cacheField>
    <cacheField name="Rating Std" numFmtId="0">
      <sharedItems containsMixedTypes="1" containsNumber="1" minValue="2" maxValue="5"/>
    </cacheField>
    <cacheField name="Rating Category" numFmtId="0">
      <sharedItems count="4">
        <s v="Excellent"/>
        <s v="Average"/>
        <s v=""/>
        <s v="Poor"/>
      </sharedItems>
    </cacheField>
  </cacheFields>
  <extLst>
    <ext xmlns:x14="http://schemas.microsoft.com/office/spreadsheetml/2009/9/main" uri="{725AE2AE-9491-48be-B2B4-4EB974FC3084}">
      <x14:pivotCacheDefinition pivotCacheId="1746639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7.688516550923" backgroundQuery="1" createdVersion="8" refreshedVersion="8" minRefreshableVersion="3" recordCount="0" supportSubquery="1" supportAdvancedDrill="1" xr:uid="{8937FACE-ACB4-47DF-B4EF-1C84FCD22C90}">
  <cacheSource type="external" connectionId="1"/>
  <cacheFields count="3">
    <cacheField name="[Range].[Discount Category].[Discount Category]" caption="Discount Category" numFmtId="0" hierarchy="8" level="1">
      <sharedItems count="3">
        <s v="High"/>
        <s v="Low"/>
        <s v="Medium"/>
      </sharedItems>
    </cacheField>
    <cacheField name="[Measures].[Count of Product]" caption="Count of Product" numFmtId="0" hierarchy="16" level="32767"/>
    <cacheField name="[Range].[Product Type].[Product Type]" caption="Product Type" numFmtId="0" hierarchy="1" level="1">
      <sharedItems containsSemiMixedTypes="0" containsNonDate="0" containsString="0"/>
    </cacheField>
  </cacheFields>
  <cacheHierarchies count="17">
    <cacheHierarchy uniqueName="[Range].[Product]" caption="Product" attribute="1" defaultMemberUniqueName="[Range].[Product].[All]" allUniqueName="[Range].[Product].[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fieldsUsage count="2">
        <fieldUsage x="-1"/>
        <fieldUsage x="2"/>
      </fieldsUsage>
    </cacheHierarchy>
    <cacheHierarchy uniqueName="[Range].[Current price]" caption="Current price" attribute="1" defaultMemberUniqueName="[Range].[Current price].[All]" allUniqueName="[Range].[Current price].[All]" dimensionUniqueName="[Range]" displayFolder="" count="0" memberValueDatatype="130" unbalanced="0"/>
    <cacheHierarchy uniqueName="[Range].[Current price Num]" caption="Current price Num" attribute="1" defaultMemberUniqueName="[Range].[Current price Num].[All]" allUniqueName="[Range].[Current price Num].[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130" unbalanced="0"/>
    <cacheHierarchy uniqueName="[Range].[Old Price Num]" caption="Old Price Num" attribute="1" defaultMemberUniqueName="[Range].[Old Price Num].[All]" allUniqueName="[Range].[Old Price Num].[All]" dimensionUniqueName="[Range]" displayFolder="" count="0" memberValueDatatype="20" unbalanced="0"/>
    <cacheHierarchy uniqueName="[Range].[Abs Discount]" caption="Abs Discount" attribute="1" defaultMemberUniqueName="[Range].[Abs Discount].[All]" allUniqueName="[Range].[Abs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 Category]" caption="Discount Category" attribute="1" defaultMemberUniqueName="[Range].[Discount Category].[All]" allUniqueName="[Range].[Discount Category].[All]" dimensionUniqueName="[Range]" displayFolder="" count="2" memberValueDatatype="130" unbalanced="0">
      <fieldsUsage count="2">
        <fieldUsage x="-1"/>
        <fieldUsage x="0"/>
      </fieldsUsage>
    </cacheHierarchy>
    <cacheHierarchy uniqueName="[Range].[Review]" caption="Review" attribute="1" defaultMemberUniqueName="[Range].[Review].[All]" allUniqueName="[Range].[Review].[All]" dimensionUniqueName="[Range]" displayFolder="" count="0" memberValueDatatype="20" unbalanced="0"/>
    <cacheHierarchy uniqueName="[Range].[Reviews]" caption="Reviews" attribute="1" defaultMemberUniqueName="[Range].[Reviews].[All]" allUniqueName="[Range].[Reviews].[All]" dimensionUniqueName="[Range]" displayFolder="" count="0" memberValueDatatype="130" unbalanced="0"/>
    <cacheHierarchy uniqueName="[Range].[Rating]" caption="Rating" attribute="1" defaultMemberUniqueName="[Range].[Rating].[All]" allUniqueName="[Range].[Rating].[All]" dimensionUniqueName="[Range]" displayFolder="" count="0" memberValueDatatype="130" unbalanced="0"/>
    <cacheHierarchy uniqueName="[Range].[Rating Std]" caption="Rating Std" attribute="1" defaultMemberUniqueName="[Range].[Rating Std].[All]" allUniqueName="[Range].[Rating Std].[All]" dimensionUniqueName="[Range]" displayFolder="" count="0" memberValueDatatype="130"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7.688517245369" backgroundQuery="1" createdVersion="8" refreshedVersion="8" minRefreshableVersion="3" recordCount="0" supportSubquery="1" supportAdvancedDrill="1" xr:uid="{CA97947A-2CA2-4ACA-B3B9-B8C7CE056AC1}">
  <cacheSource type="external" connectionId="1"/>
  <cacheFields count="2">
    <cacheField name="[Range].[Product Type].[Product Type]" caption="Product Type" numFmtId="0" hierarchy="1" level="1">
      <sharedItems count="5">
        <s v="Cleaning &amp; Appliances"/>
        <s v="Home &amp; Kitchen"/>
        <s v="Home Decor"/>
        <s v="Other"/>
        <s v="Tools &amp; Hardware"/>
      </sharedItems>
    </cacheField>
    <cacheField name="[Range].[Discount Category].[Discount Category]" caption="Discount Category" numFmtId="0" hierarchy="8" level="1">
      <sharedItems containsSemiMixedTypes="0" containsNonDate="0" containsString="0"/>
    </cacheField>
  </cacheFields>
  <cacheHierarchies count="17">
    <cacheHierarchy uniqueName="[Range].[Product]" caption="Product" attribute="1" defaultMemberUniqueName="[Range].[Product].[All]" allUniqueName="[Range].[Product].[All]" dimensionUniqueName="[Range]" displayFolder="" count="2" memberValueDatatype="130" unbalanced="0"/>
    <cacheHierarchy uniqueName="[Range].[Product Type]" caption="Product Type" attribute="1" defaultMemberUniqueName="[Range].[Product Type].[All]" allUniqueName="[Range].[Product Type].[All]" dimensionUniqueName="[Range]" displayFolder="" count="2" memberValueDatatype="130" unbalanced="0">
      <fieldsUsage count="2">
        <fieldUsage x="-1"/>
        <fieldUsage x="0"/>
      </fieldsUsage>
    </cacheHierarchy>
    <cacheHierarchy uniqueName="[Range].[Current price]" caption="Current price" attribute="1" defaultMemberUniqueName="[Range].[Current price].[All]" allUniqueName="[Range].[Current price].[All]" dimensionUniqueName="[Range]" displayFolder="" count="2" memberValueDatatype="130" unbalanced="0"/>
    <cacheHierarchy uniqueName="[Range].[Current price Num]" caption="Current price Num" attribute="1" defaultMemberUniqueName="[Range].[Current price Num].[All]" allUniqueName="[Range].[Current price Num].[All]" dimensionUniqueName="[Range]" displayFolder="" count="2" memberValueDatatype="20" unbalanced="0"/>
    <cacheHierarchy uniqueName="[Range].[old price]" caption="old price" attribute="1" defaultMemberUniqueName="[Range].[old price].[All]" allUniqueName="[Range].[old price].[All]" dimensionUniqueName="[Range]" displayFolder="" count="2" memberValueDatatype="130" unbalanced="0"/>
    <cacheHierarchy uniqueName="[Range].[Old Price Num]" caption="Old Price Num" attribute="1" defaultMemberUniqueName="[Range].[Old Price Num].[All]" allUniqueName="[Range].[Old Price Num].[All]" dimensionUniqueName="[Range]" displayFolder="" count="2" memberValueDatatype="20" unbalanced="0"/>
    <cacheHierarchy uniqueName="[Range].[Abs Discount]" caption="Abs Discount" attribute="1" defaultMemberUniqueName="[Range].[Abs Discount].[All]" allUniqueName="[Range].[Abs Discount].[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Discount Category]" caption="Discount Category" attribute="1" defaultMemberUniqueName="[Range].[Discount Category].[All]" allUniqueName="[Range].[Discount Category].[All]" dimensionUniqueName="[Range]" displayFolder="" count="2" memberValueDatatype="130" unbalanced="0">
      <fieldsUsage count="2">
        <fieldUsage x="-1"/>
        <fieldUsage x="1"/>
      </fieldsUsage>
    </cacheHierarchy>
    <cacheHierarchy uniqueName="[Range].[Review]" caption="Review" attribute="1" defaultMemberUniqueName="[Range].[Review].[All]" allUniqueName="[Range].[Review].[All]" dimensionUniqueName="[Range]" displayFolder="" count="2" memberValueDatatype="20" unbalanced="0"/>
    <cacheHierarchy uniqueName="[Range].[Reviews]" caption="Reviews" attribute="1" defaultMemberUniqueName="[Range].[Reviews].[All]" allUniqueName="[Range].[Reviews].[All]" dimensionUniqueName="[Range]" displayFolder="" count="2" memberValueDatatype="130" unbalanced="0"/>
    <cacheHierarchy uniqueName="[Range].[Rating]" caption="Rating" attribute="1" defaultMemberUniqueName="[Range].[Rating].[All]" allUniqueName="[Range].[Rating].[All]" dimensionUniqueName="[Range]" displayFolder="" count="2" memberValueDatatype="130" unbalanced="0"/>
    <cacheHierarchy uniqueName="[Range].[Rating Std]" caption="Rating Std" attribute="1" defaultMemberUniqueName="[Range].[Rating Std].[All]" allUniqueName="[Range].[Rating Std].[All]" dimensionUniqueName="[Range]" displayFolder="" count="2" memberValueDatatype="130" unbalanced="0"/>
    <cacheHierarchy uniqueName="[Range].[Rating Category]" caption="Rating Category" attribute="1" defaultMemberUniqueName="[Range].[Rating Category].[All]" allUniqueName="[Range].[Rating Categor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7.591822453702" backgroundQuery="1" createdVersion="3" refreshedVersion="8" minRefreshableVersion="3" recordCount="0" supportSubquery="1" supportAdvancedDrill="1" xr:uid="{3E32FF73-0A98-45AA-A39A-750D460A2687}">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Product]" caption="Product" attribute="1" defaultMemberUniqueName="[Range].[Product].[All]" allUniqueName="[Range].[Product].[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0" memberValueDatatype="130" unbalanced="0"/>
    <cacheHierarchy uniqueName="[Range].[Current price]" caption="Current price" attribute="1" defaultMemberUniqueName="[Range].[Current price].[All]" allUniqueName="[Range].[Current price].[All]" dimensionUniqueName="[Range]" displayFolder="" count="0" memberValueDatatype="130" unbalanced="0"/>
    <cacheHierarchy uniqueName="[Range].[Current price Num]" caption="Current price Num" attribute="1" defaultMemberUniqueName="[Range].[Current price Num].[All]" allUniqueName="[Range].[Current price Num].[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130" unbalanced="0"/>
    <cacheHierarchy uniqueName="[Range].[Old Price Num]" caption="Old Price Num" attribute="1" defaultMemberUniqueName="[Range].[Old Price Num].[All]" allUniqueName="[Range].[Old Price Num].[All]" dimensionUniqueName="[Range]" displayFolder="" count="0" memberValueDatatype="20" unbalanced="0"/>
    <cacheHierarchy uniqueName="[Range].[Abs Discount]" caption="Abs Discount" attribute="1" defaultMemberUniqueName="[Range].[Abs Discount].[All]" allUniqueName="[Range].[Abs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 Category]" caption="Discount Category" attribute="1" defaultMemberUniqueName="[Range].[Discount Category].[All]" allUniqueName="[Range].[Discount Category].[All]" dimensionUniqueName="[Range]" displayFolder="" count="2" memberValueDatatype="130" unbalanced="0"/>
    <cacheHierarchy uniqueName="[Range].[Review]" caption="Review" attribute="1" defaultMemberUniqueName="[Range].[Review].[All]" allUniqueName="[Range].[Review].[All]" dimensionUniqueName="[Range]" displayFolder="" count="0" memberValueDatatype="20" unbalanced="0"/>
    <cacheHierarchy uniqueName="[Range].[Reviews]" caption="Reviews" attribute="1" defaultMemberUniqueName="[Range].[Reviews].[All]" allUniqueName="[Range].[Reviews].[All]" dimensionUniqueName="[Range]" displayFolder="" count="0" memberValueDatatype="130" unbalanced="0"/>
    <cacheHierarchy uniqueName="[Range].[Rating]" caption="Rating" attribute="1" defaultMemberUniqueName="[Range].[Rating].[All]" allUniqueName="[Range].[Rating].[All]" dimensionUniqueName="[Range]" displayFolder="" count="0" memberValueDatatype="130" unbalanced="0"/>
    <cacheHierarchy uniqueName="[Range].[Rating Std]" caption="Rating Std" attribute="1" defaultMemberUniqueName="[Range].[Rating Std].[All]" allUniqueName="[Range].[Rating Std].[All]" dimensionUniqueName="[Range]" displayFolder="" count="0" memberValueDatatype="130"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52088523"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7.592307870371" backgroundQuery="1" createdVersion="3" refreshedVersion="8" minRefreshableVersion="3" recordCount="0" supportSubquery="1" supportAdvancedDrill="1" xr:uid="{B46AC267-0531-4C44-B808-435AD439CF74}">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Product]" caption="Product" attribute="1" defaultMemberUniqueName="[Range].[Product].[All]" allUniqueName="[Range].[Product].[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cacheHierarchy uniqueName="[Range].[Current price]" caption="Current price" attribute="1" defaultMemberUniqueName="[Range].[Current price].[All]" allUniqueName="[Range].[Current price].[All]" dimensionUniqueName="[Range]" displayFolder="" count="0" memberValueDatatype="130" unbalanced="0"/>
    <cacheHierarchy uniqueName="[Range].[Current price Num]" caption="Current price Num" attribute="1" defaultMemberUniqueName="[Range].[Current price Num].[All]" allUniqueName="[Range].[Current price Num].[All]" dimensionUniqueName="[Range]" displayFolder="" count="0" memberValueDatatype="20" unbalanced="0"/>
    <cacheHierarchy uniqueName="[Range].[old price]" caption="old price" attribute="1" defaultMemberUniqueName="[Range].[old price].[All]" allUniqueName="[Range].[old price].[All]" dimensionUniqueName="[Range]" displayFolder="" count="0" memberValueDatatype="130" unbalanced="0"/>
    <cacheHierarchy uniqueName="[Range].[Old Price Num]" caption="Old Price Num" attribute="1" defaultMemberUniqueName="[Range].[Old Price Num].[All]" allUniqueName="[Range].[Old Price Num].[All]" dimensionUniqueName="[Range]" displayFolder="" count="0" memberValueDatatype="20" unbalanced="0"/>
    <cacheHierarchy uniqueName="[Range].[Abs Discount]" caption="Abs Discount" attribute="1" defaultMemberUniqueName="[Range].[Abs Discount].[All]" allUniqueName="[Range].[Abs Discoun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 Category]" caption="Discount Category" attribute="1" defaultMemberUniqueName="[Range].[Discount Category].[All]" allUniqueName="[Range].[Discount Category].[All]" dimensionUniqueName="[Range]" displayFolder="" count="0" memberValueDatatype="130" unbalanced="0"/>
    <cacheHierarchy uniqueName="[Range].[Review]" caption="Review" attribute="1" defaultMemberUniqueName="[Range].[Review].[All]" allUniqueName="[Range].[Review].[All]" dimensionUniqueName="[Range]" displayFolder="" count="0" memberValueDatatype="20" unbalanced="0"/>
    <cacheHierarchy uniqueName="[Range].[Reviews]" caption="Reviews" attribute="1" defaultMemberUniqueName="[Range].[Reviews].[All]" allUniqueName="[Range].[Reviews].[All]" dimensionUniqueName="[Range]" displayFolder="" count="0" memberValueDatatype="130" unbalanced="0"/>
    <cacheHierarchy uniqueName="[Range].[Rating]" caption="Rating" attribute="1" defaultMemberUniqueName="[Range].[Rating].[All]" allUniqueName="[Range].[Rating].[All]" dimensionUniqueName="[Range]" displayFolder="" count="0" memberValueDatatype="130" unbalanced="0"/>
    <cacheHierarchy uniqueName="[Range].[Rating Std]" caption="Rating Std" attribute="1" defaultMemberUniqueName="[Range].[Rating Std].[All]" allUniqueName="[Range].[Rating Std].[All]" dimensionUniqueName="[Range]" displayFolder="" count="0" memberValueDatatype="130" unbalanced="0"/>
    <cacheHierarchy uniqueName="[Range].[Rating Category]" caption="Rating Category" attribute="1" defaultMemberUniqueName="[Range].[Rating Category].[All]" allUniqueName="[Range].[Rating Categor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92956585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s v="KSh 950"/>
    <n v="950"/>
    <s v="KSh 1,525"/>
    <n v="1525"/>
    <x v="0"/>
    <x v="0"/>
    <n v="-2"/>
    <n v="2"/>
    <x v="0"/>
    <n v="4.5"/>
    <x v="0"/>
  </r>
  <r>
    <x v="1"/>
    <s v="KSh 527"/>
    <n v="527"/>
    <s v="KSh 999"/>
    <n v="999"/>
    <x v="1"/>
    <x v="1"/>
    <n v="-14"/>
    <n v="14"/>
    <x v="1"/>
    <n v="4.0999999999999996"/>
    <x v="1"/>
  </r>
  <r>
    <x v="2"/>
    <s v="KSh 2,199"/>
    <n v="2199"/>
    <s v="KSh 2,923"/>
    <n v="2923"/>
    <x v="2"/>
    <x v="2"/>
    <n v="-24"/>
    <n v="24"/>
    <x v="2"/>
    <n v="4.5999999999999996"/>
    <x v="0"/>
  </r>
  <r>
    <x v="3"/>
    <s v="KSh 1,580"/>
    <n v="1580"/>
    <s v="KSh 2,499"/>
    <n v="2499"/>
    <x v="3"/>
    <x v="3"/>
    <n v="-7"/>
    <n v="7"/>
    <x v="3"/>
    <n v="4.7"/>
    <x v="0"/>
  </r>
  <r>
    <x v="4"/>
    <s v="KSh 1,740"/>
    <n v="1740"/>
    <s v="KSh 2,356"/>
    <n v="2356"/>
    <x v="4"/>
    <x v="4"/>
    <n v="-5"/>
    <n v="5"/>
    <x v="4"/>
    <n v="4.8"/>
    <x v="0"/>
  </r>
  <r>
    <x v="5"/>
    <s v="KSh 2,999"/>
    <n v="2999"/>
    <s v="KSh 3,290"/>
    <n v="3290"/>
    <x v="5"/>
    <x v="5"/>
    <n v="-15"/>
    <n v="15"/>
    <x v="5"/>
    <n v="4"/>
    <x v="1"/>
  </r>
  <r>
    <x v="6"/>
    <s v="KSh 2,319"/>
    <n v="2319"/>
    <s v="KSh 3,032"/>
    <n v="3032"/>
    <x v="6"/>
    <x v="6"/>
    <n v="-55"/>
    <n v="55"/>
    <x v="2"/>
    <n v="4.5999999999999996"/>
    <x v="0"/>
  </r>
  <r>
    <x v="7"/>
    <s v="KSh 988"/>
    <n v="988"/>
    <s v="KSh 1,580"/>
    <n v="1580"/>
    <x v="7"/>
    <x v="3"/>
    <n v="-2"/>
    <n v="2"/>
    <x v="5"/>
    <n v="4"/>
    <x v="1"/>
  </r>
  <r>
    <x v="8"/>
    <s v="KSh 1,274"/>
    <n v="1274"/>
    <s v="KSh 2,800"/>
    <n v="2800"/>
    <x v="8"/>
    <x v="7"/>
    <n v="-5"/>
    <n v="5"/>
    <x v="4"/>
    <n v="4.8"/>
    <x v="0"/>
  </r>
  <r>
    <x v="9"/>
    <s v="KSh 1,600"/>
    <n v="1600"/>
    <s v="KSh 2,929"/>
    <n v="2929"/>
    <x v="9"/>
    <x v="8"/>
    <n v="-5"/>
    <n v="5"/>
    <x v="6"/>
    <n v="3.8"/>
    <x v="1"/>
  </r>
  <r>
    <x v="10"/>
    <s v="KSh 799"/>
    <n v="799"/>
    <s v="KSh 999"/>
    <n v="999"/>
    <x v="10"/>
    <x v="9"/>
    <n v="-12"/>
    <n v="12"/>
    <x v="1"/>
    <n v="4.0999999999999996"/>
    <x v="1"/>
  </r>
  <r>
    <x v="11"/>
    <s v="KSh 990"/>
    <n v="990"/>
    <s v="KSh 1,500"/>
    <n v="1500"/>
    <x v="11"/>
    <x v="10"/>
    <n v="-39"/>
    <n v="39"/>
    <x v="3"/>
    <n v="4.7"/>
    <x v="0"/>
  </r>
  <r>
    <x v="12"/>
    <s v="KSh 552"/>
    <n v="552"/>
    <s v="KSh 1,035"/>
    <n v="1035"/>
    <x v="12"/>
    <x v="1"/>
    <n v="-12"/>
    <n v="12"/>
    <x v="4"/>
    <n v="4.8"/>
    <x v="0"/>
  </r>
  <r>
    <x v="13"/>
    <s v="KSh 501"/>
    <n v="501"/>
    <s v="KSh 860"/>
    <n v="860"/>
    <x v="13"/>
    <x v="11"/>
    <n v="-6"/>
    <n v="6"/>
    <x v="0"/>
    <n v="4.5"/>
    <x v="0"/>
  </r>
  <r>
    <x v="14"/>
    <s v="KSh 1,680"/>
    <n v="1680"/>
    <s v="KSh 2,499"/>
    <n v="2499"/>
    <x v="14"/>
    <x v="12"/>
    <n v="-9"/>
    <n v="9"/>
    <x v="7"/>
    <n v="4.2"/>
    <x v="1"/>
  </r>
  <r>
    <x v="15"/>
    <s v="KSh 332"/>
    <n v="332"/>
    <s v="KSh 684"/>
    <n v="684"/>
    <x v="15"/>
    <x v="13"/>
    <n v="-2"/>
    <n v="2"/>
    <x v="8"/>
    <n v="5"/>
    <x v="0"/>
  </r>
  <r>
    <x v="16"/>
    <s v="KSh 195"/>
    <n v="195"/>
    <s v="KSh 360"/>
    <n v="360"/>
    <x v="16"/>
    <x v="14"/>
    <n v="-2"/>
    <n v="2"/>
    <x v="8"/>
    <n v="5"/>
    <x v="0"/>
  </r>
  <r>
    <x v="17"/>
    <s v="KSh 2,025"/>
    <n v="2025"/>
    <s v="KSh 3,971"/>
    <n v="3971"/>
    <x v="17"/>
    <x v="15"/>
    <n v="-3"/>
    <n v="3"/>
    <x v="8"/>
    <n v="5"/>
    <x v="0"/>
  </r>
  <r>
    <x v="18"/>
    <s v="KSh 2,999"/>
    <n v="2999"/>
    <s v="KSh 3,699"/>
    <n v="3699"/>
    <x v="18"/>
    <x v="16"/>
    <n v="-5"/>
    <n v="5"/>
    <x v="2"/>
    <n v="4.5999999999999996"/>
    <x v="0"/>
  </r>
  <r>
    <x v="19"/>
    <s v="KSh 998"/>
    <n v="998"/>
    <s v="KSh 1,966"/>
    <n v="1966"/>
    <x v="19"/>
    <x v="15"/>
    <n v="-44"/>
    <n v="44"/>
    <x v="2"/>
    <n v="4.5999999999999996"/>
    <x v="0"/>
  </r>
  <r>
    <x v="20"/>
    <s v="KSh 38"/>
    <n v="38"/>
    <s v="KSh 80"/>
    <n v="80"/>
    <x v="20"/>
    <x v="17"/>
    <n v="-13"/>
    <n v="13"/>
    <x v="9"/>
    <n v="3.3"/>
    <x v="1"/>
  </r>
  <r>
    <x v="21"/>
    <s v="KSh 1,860"/>
    <n v="1860"/>
    <s v="KSh 3,220"/>
    <n v="3220"/>
    <x v="21"/>
    <x v="11"/>
    <m/>
    <n v="0"/>
    <x v="10"/>
    <s v=""/>
    <x v="2"/>
  </r>
  <r>
    <x v="22"/>
    <s v="KSh 880"/>
    <n v="880"/>
    <s v="KSh 1,350"/>
    <n v="1350"/>
    <x v="22"/>
    <x v="18"/>
    <n v="-6"/>
    <n v="6"/>
    <x v="5"/>
    <n v="4"/>
    <x v="1"/>
  </r>
  <r>
    <x v="23"/>
    <s v="KSh 1,650"/>
    <n v="1650"/>
    <s v="KSh 2,150"/>
    <n v="2150"/>
    <x v="23"/>
    <x v="19"/>
    <n v="-14"/>
    <n v="14"/>
    <x v="11"/>
    <n v="4.4000000000000004"/>
    <x v="1"/>
  </r>
  <r>
    <x v="24"/>
    <s v="KSh 2,048"/>
    <n v="2048"/>
    <s v="KSh 4,500"/>
    <n v="4500"/>
    <x v="24"/>
    <x v="20"/>
    <n v="-7"/>
    <n v="7"/>
    <x v="12"/>
    <n v="4.3"/>
    <x v="1"/>
  </r>
  <r>
    <x v="25"/>
    <s v="KSh 420"/>
    <n v="420"/>
    <s v="KSh 647"/>
    <n v="647"/>
    <x v="25"/>
    <x v="18"/>
    <n v="-49"/>
    <n v="49"/>
    <x v="2"/>
    <n v="4.5999999999999996"/>
    <x v="0"/>
  </r>
  <r>
    <x v="26"/>
    <s v="KSh 2,880"/>
    <n v="2880"/>
    <s v="KSh 3,520"/>
    <n v="3520"/>
    <x v="26"/>
    <x v="21"/>
    <n v="-12"/>
    <n v="12"/>
    <x v="6"/>
    <n v="3.8"/>
    <x v="1"/>
  </r>
  <r>
    <x v="27"/>
    <s v="KSh 1,350"/>
    <n v="1350"/>
    <s v="KSh 1,990"/>
    <n v="1990"/>
    <x v="26"/>
    <x v="22"/>
    <n v="-13"/>
    <n v="13"/>
    <x v="6"/>
    <n v="3.8"/>
    <x v="1"/>
  </r>
  <r>
    <x v="28"/>
    <s v="KSh 1,758"/>
    <n v="1758"/>
    <s v="KSh 2,499"/>
    <n v="2499"/>
    <x v="27"/>
    <x v="23"/>
    <n v="-20"/>
    <n v="20"/>
    <x v="1"/>
    <n v="4.0999999999999996"/>
    <x v="1"/>
  </r>
  <r>
    <x v="29"/>
    <s v="KSh 2,200"/>
    <n v="2200"/>
    <s v="KSh 4,080"/>
    <n v="4080"/>
    <x v="28"/>
    <x v="14"/>
    <m/>
    <n v="0"/>
    <x v="10"/>
    <s v=""/>
    <x v="2"/>
  </r>
  <r>
    <x v="30"/>
    <s v="KSh 185"/>
    <n v="185"/>
    <s v="KSh 382"/>
    <n v="382"/>
    <x v="29"/>
    <x v="24"/>
    <n v="-9"/>
    <n v="9"/>
    <x v="12"/>
    <n v="4.3"/>
    <x v="1"/>
  </r>
  <r>
    <x v="31"/>
    <s v="KSh 980"/>
    <n v="980"/>
    <s v="KSh 1,490"/>
    <n v="1490"/>
    <x v="11"/>
    <x v="10"/>
    <n v="-12"/>
    <n v="12"/>
    <x v="3"/>
    <n v="4.7"/>
    <x v="0"/>
  </r>
  <r>
    <x v="32"/>
    <s v="KSh 1,820"/>
    <n v="1820"/>
    <s v="KSh 3,490"/>
    <n v="3490"/>
    <x v="30"/>
    <x v="25"/>
    <n v="-9"/>
    <n v="9"/>
    <x v="12"/>
    <n v="4.3"/>
    <x v="1"/>
  </r>
  <r>
    <x v="33"/>
    <s v="KSh 1,940"/>
    <n v="1940"/>
    <s v="KSh 2,650"/>
    <n v="2650"/>
    <x v="31"/>
    <x v="26"/>
    <n v="-20"/>
    <n v="20"/>
    <x v="3"/>
    <n v="4.7"/>
    <x v="0"/>
  </r>
  <r>
    <x v="34"/>
    <s v="KSh 1,980"/>
    <n v="1980"/>
    <s v="KSh 2,699"/>
    <n v="2699"/>
    <x v="32"/>
    <x v="26"/>
    <n v="-32"/>
    <n v="32"/>
    <x v="0"/>
    <n v="4.5"/>
    <x v="0"/>
  </r>
  <r>
    <x v="35"/>
    <s v="KSh 1,620"/>
    <n v="1620"/>
    <s v="KSh 2,690"/>
    <n v="2690"/>
    <x v="33"/>
    <x v="27"/>
    <n v="-1"/>
    <n v="1"/>
    <x v="8"/>
    <n v="5"/>
    <x v="0"/>
  </r>
  <r>
    <x v="36"/>
    <s v="KSh 171"/>
    <n v="171"/>
    <s v="KSh 360"/>
    <n v="360"/>
    <x v="34"/>
    <x v="17"/>
    <n v="-2"/>
    <n v="2"/>
    <x v="8"/>
    <n v="5"/>
    <x v="0"/>
  </r>
  <r>
    <x v="37"/>
    <s v="KSh 389"/>
    <n v="389"/>
    <s v="KSh 656"/>
    <n v="656"/>
    <x v="35"/>
    <x v="28"/>
    <n v="-36"/>
    <n v="36"/>
    <x v="12"/>
    <n v="4.3"/>
    <x v="1"/>
  </r>
  <r>
    <x v="38"/>
    <s v="KSh 1,800"/>
    <n v="1800"/>
    <s v="KSh 2,700"/>
    <n v="2700"/>
    <x v="36"/>
    <x v="0"/>
    <n v="-2"/>
    <n v="2"/>
    <x v="0"/>
    <n v="4.5"/>
    <x v="0"/>
  </r>
  <r>
    <x v="39"/>
    <s v="KSh 2,750"/>
    <n v="2750"/>
    <s v="KSh 4,471"/>
    <n v="4471"/>
    <x v="37"/>
    <x v="0"/>
    <m/>
    <n v="0"/>
    <x v="10"/>
    <s v=""/>
    <x v="2"/>
  </r>
  <r>
    <x v="40"/>
    <s v="KSh 475"/>
    <n v="475"/>
    <s v="KSh 931"/>
    <n v="931"/>
    <x v="38"/>
    <x v="15"/>
    <m/>
    <n v="0"/>
    <x v="10"/>
    <s v=""/>
    <x v="2"/>
  </r>
  <r>
    <x v="41"/>
    <s v="KSh 238"/>
    <n v="238"/>
    <s v="KSh 476"/>
    <n v="476"/>
    <x v="39"/>
    <x v="29"/>
    <m/>
    <n v="0"/>
    <x v="10"/>
    <s v=""/>
    <x v="2"/>
  </r>
  <r>
    <x v="42"/>
    <s v="KSh 610"/>
    <n v="610"/>
    <s v="KSh 1,060"/>
    <n v="1060"/>
    <x v="40"/>
    <x v="11"/>
    <m/>
    <n v="0"/>
    <x v="10"/>
    <s v=""/>
    <x v="2"/>
  </r>
  <r>
    <x v="43"/>
    <s v="KSh 2,132"/>
    <n v="2132"/>
    <s v="KSh 2,169"/>
    <n v="2169"/>
    <x v="41"/>
    <x v="30"/>
    <m/>
    <n v="0"/>
    <x v="10"/>
    <s v=""/>
    <x v="2"/>
  </r>
  <r>
    <x v="44"/>
    <s v="KSh 999"/>
    <n v="999"/>
    <s v="KSh 2,000"/>
    <n v="2000"/>
    <x v="42"/>
    <x v="29"/>
    <m/>
    <n v="0"/>
    <x v="10"/>
    <s v=""/>
    <x v="2"/>
  </r>
  <r>
    <x v="45"/>
    <s v="KSh 1,190"/>
    <n v="1190"/>
    <s v="KSh 1,785"/>
    <n v="1785"/>
    <x v="43"/>
    <x v="12"/>
    <m/>
    <n v="0"/>
    <x v="10"/>
    <s v=""/>
    <x v="2"/>
  </r>
  <r>
    <x v="46"/>
    <s v="KSh 671"/>
    <n v="671"/>
    <s v="KSh 1,316"/>
    <n v="1316"/>
    <x v="44"/>
    <x v="15"/>
    <m/>
    <n v="0"/>
    <x v="10"/>
    <s v=""/>
    <x v="2"/>
  </r>
  <r>
    <x v="47"/>
    <s v="KSh 1,200"/>
    <n v="1200"/>
    <s v="KSh 1,950"/>
    <n v="1950"/>
    <x v="45"/>
    <x v="0"/>
    <m/>
    <n v="0"/>
    <x v="10"/>
    <s v=""/>
    <x v="2"/>
  </r>
  <r>
    <x v="48"/>
    <s v="KSh 199"/>
    <n v="199"/>
    <s v="KSh 504"/>
    <n v="504"/>
    <x v="46"/>
    <x v="31"/>
    <m/>
    <n v="0"/>
    <x v="10"/>
    <s v=""/>
    <x v="2"/>
  </r>
  <r>
    <x v="49"/>
    <s v="KSh 299"/>
    <n v="299"/>
    <s v="KSh 600"/>
    <n v="600"/>
    <x v="47"/>
    <x v="29"/>
    <m/>
    <n v="0"/>
    <x v="10"/>
    <s v=""/>
    <x v="2"/>
  </r>
  <r>
    <x v="50"/>
    <s v="KSh 1,660"/>
    <n v="1660"/>
    <s v="KSh 1,699"/>
    <n v="1699"/>
    <x v="48"/>
    <x v="30"/>
    <m/>
    <n v="0"/>
    <x v="10"/>
    <s v=""/>
    <x v="2"/>
  </r>
  <r>
    <x v="51"/>
    <s v="KSh 299"/>
    <n v="299"/>
    <s v="KSh 384"/>
    <n v="384"/>
    <x v="49"/>
    <x v="32"/>
    <m/>
    <n v="0"/>
    <x v="10"/>
    <s v=""/>
    <x v="2"/>
  </r>
  <r>
    <x v="52"/>
    <s v="KSh 1,459"/>
    <n v="1459"/>
    <s v="KSh 1,499"/>
    <n v="1499"/>
    <x v="50"/>
    <x v="33"/>
    <m/>
    <n v="0"/>
    <x v="10"/>
    <s v=""/>
    <x v="2"/>
  </r>
  <r>
    <x v="53"/>
    <s v="KSh 799"/>
    <n v="799"/>
    <s v="KSh 1,343"/>
    <n v="1343"/>
    <x v="51"/>
    <x v="28"/>
    <m/>
    <n v="0"/>
    <x v="10"/>
    <s v=""/>
    <x v="2"/>
  </r>
  <r>
    <x v="54"/>
    <s v="KSh 499"/>
    <n v="499"/>
    <s v="KSh 900"/>
    <n v="900"/>
    <x v="52"/>
    <x v="8"/>
    <m/>
    <n v="0"/>
    <x v="10"/>
    <s v=""/>
    <x v="2"/>
  </r>
  <r>
    <x v="55"/>
    <s v="KSh 699"/>
    <n v="699"/>
    <s v="KSh 1,343"/>
    <n v="1343"/>
    <x v="53"/>
    <x v="25"/>
    <m/>
    <n v="0"/>
    <x v="10"/>
    <s v=""/>
    <x v="2"/>
  </r>
  <r>
    <x v="56"/>
    <s v="KSh 799"/>
    <n v="799"/>
    <s v="KSh 1,567"/>
    <n v="1567"/>
    <x v="54"/>
    <x v="15"/>
    <m/>
    <n v="0"/>
    <x v="10"/>
    <s v=""/>
    <x v="2"/>
  </r>
  <r>
    <x v="57"/>
    <s v="KSh 2,799"/>
    <n v="2799"/>
    <s v="KSh 3,810"/>
    <n v="3810"/>
    <x v="55"/>
    <x v="26"/>
    <m/>
    <n v="0"/>
    <x v="10"/>
    <s v=""/>
    <x v="2"/>
  </r>
  <r>
    <x v="58"/>
    <s v="KSh 2,170"/>
    <n v="2170"/>
    <s v="KSh 2,500"/>
    <n v="2500"/>
    <x v="56"/>
    <x v="34"/>
    <n v="-6"/>
    <n v="6"/>
    <x v="13"/>
    <n v="2.5"/>
    <x v="3"/>
  </r>
  <r>
    <x v="59"/>
    <s v="KSh 458"/>
    <n v="458"/>
    <s v="KSh 986"/>
    <n v="986"/>
    <x v="57"/>
    <x v="20"/>
    <n v="-10"/>
    <n v="10"/>
    <x v="14"/>
    <n v="3"/>
    <x v="1"/>
  </r>
  <r>
    <x v="60"/>
    <s v="KSh 2,115"/>
    <n v="2115"/>
    <s v="KSh 4,700"/>
    <n v="4700"/>
    <x v="58"/>
    <x v="7"/>
    <n v="-13"/>
    <n v="13"/>
    <x v="15"/>
    <n v="2.1"/>
    <x v="3"/>
  </r>
  <r>
    <x v="61"/>
    <s v="KSh 445"/>
    <n v="445"/>
    <s v="KSh 873"/>
    <n v="873"/>
    <x v="59"/>
    <x v="15"/>
    <n v="-69"/>
    <n v="69"/>
    <x v="16"/>
    <n v="2.8"/>
    <x v="3"/>
  </r>
  <r>
    <x v="62"/>
    <s v="KSh 325"/>
    <n v="325"/>
    <s v="KSh 680"/>
    <n v="680"/>
    <x v="60"/>
    <x v="24"/>
    <n v="-15"/>
    <n v="15"/>
    <x v="17"/>
    <n v="2.7"/>
    <x v="3"/>
  </r>
  <r>
    <x v="63"/>
    <s v="KSh 1,220"/>
    <n v="1220"/>
    <s v="KSh 1,555"/>
    <n v="1555"/>
    <x v="61"/>
    <x v="32"/>
    <n v="-16"/>
    <n v="16"/>
    <x v="18"/>
    <n v="2.9"/>
    <x v="3"/>
  </r>
  <r>
    <x v="64"/>
    <s v="KSh 990"/>
    <n v="990"/>
    <s v="KSh 1,814"/>
    <n v="1814"/>
    <x v="62"/>
    <x v="8"/>
    <n v="-6"/>
    <n v="6"/>
    <x v="19"/>
    <n v="2.2000000000000002"/>
    <x v="3"/>
  </r>
  <r>
    <x v="65"/>
    <s v="KSh 1,000"/>
    <n v="1000"/>
    <s v="KSh 2,000"/>
    <n v="2000"/>
    <x v="63"/>
    <x v="29"/>
    <n v="-7"/>
    <n v="7"/>
    <x v="20"/>
    <n v="2.2999999999999998"/>
    <x v="3"/>
  </r>
  <r>
    <x v="66"/>
    <s v="KSh 3,750"/>
    <n v="3750"/>
    <s v="KSh 6,143"/>
    <n v="6143"/>
    <x v="64"/>
    <x v="35"/>
    <n v="-5"/>
    <n v="5"/>
    <x v="14"/>
    <n v="3"/>
    <x v="1"/>
  </r>
  <r>
    <x v="67"/>
    <s v="KSh 382"/>
    <n v="382"/>
    <s v="KSh 700"/>
    <n v="700"/>
    <x v="65"/>
    <x v="8"/>
    <n v="-17"/>
    <n v="17"/>
    <x v="21"/>
    <n v="2.6"/>
    <x v="3"/>
  </r>
  <r>
    <x v="68"/>
    <s v="KSh 2,300"/>
    <n v="2300"/>
    <s v="KSh 3,240"/>
    <n v="3240"/>
    <x v="66"/>
    <x v="36"/>
    <n v="-5"/>
    <n v="5"/>
    <x v="14"/>
    <n v="3"/>
    <x v="1"/>
  </r>
  <r>
    <x v="69"/>
    <s v="KSh 345"/>
    <n v="345"/>
    <s v="KSh 602"/>
    <n v="602"/>
    <x v="67"/>
    <x v="37"/>
    <n v="-6"/>
    <n v="6"/>
    <x v="20"/>
    <n v="2.2999999999999998"/>
    <x v="3"/>
  </r>
  <r>
    <x v="70"/>
    <s v="KSh 509"/>
    <n v="509"/>
    <s v="KSh 899"/>
    <n v="899"/>
    <x v="68"/>
    <x v="37"/>
    <n v="-5"/>
    <n v="5"/>
    <x v="14"/>
    <n v="3"/>
    <x v="1"/>
  </r>
  <r>
    <x v="71"/>
    <s v="KSh 968"/>
    <n v="968"/>
    <s v="KSh 1,814"/>
    <n v="1814"/>
    <x v="69"/>
    <x v="1"/>
    <n v="-6"/>
    <n v="6"/>
    <x v="19"/>
    <n v="2.2000000000000002"/>
    <x v="3"/>
  </r>
  <r>
    <x v="72"/>
    <s v="KSh 1,570"/>
    <n v="1570"/>
    <s v="KSh 2,988"/>
    <n v="2988"/>
    <x v="70"/>
    <x v="1"/>
    <n v="-7"/>
    <n v="7"/>
    <x v="15"/>
    <n v="2.1"/>
    <x v="3"/>
  </r>
  <r>
    <x v="73"/>
    <s v="KSh 790"/>
    <n v="790"/>
    <s v="KSh 1,485"/>
    <n v="1485"/>
    <x v="71"/>
    <x v="1"/>
    <m/>
    <n v="0"/>
    <x v="10"/>
    <s v=""/>
    <x v="2"/>
  </r>
  <r>
    <x v="74"/>
    <s v="KSh 690"/>
    <n v="690"/>
    <s v="KSh 1,200"/>
    <n v="1200"/>
    <x v="11"/>
    <x v="37"/>
    <m/>
    <n v="0"/>
    <x v="10"/>
    <s v=""/>
    <x v="2"/>
  </r>
  <r>
    <x v="75"/>
    <s v="KSh 1,732"/>
    <n v="1732"/>
    <s v="KSh 1,799"/>
    <n v="1799"/>
    <x v="72"/>
    <x v="38"/>
    <m/>
    <n v="0"/>
    <x v="10"/>
    <s v=""/>
    <x v="2"/>
  </r>
  <r>
    <x v="76"/>
    <s v="KSh 230"/>
    <n v="230"/>
    <s v="KSh 450"/>
    <n v="450"/>
    <x v="73"/>
    <x v="15"/>
    <m/>
    <n v="0"/>
    <x v="10"/>
    <s v=""/>
    <x v="2"/>
  </r>
  <r>
    <x v="77"/>
    <s v="KSh 1,189"/>
    <n v="1189"/>
    <s v="KSh 2,199"/>
    <n v="2199"/>
    <x v="74"/>
    <x v="14"/>
    <n v="-1"/>
    <n v="1"/>
    <x v="14"/>
    <n v="3"/>
    <x v="1"/>
  </r>
  <r>
    <x v="78"/>
    <s v="KSh 979"/>
    <n v="979"/>
    <s v="KSh 1,920"/>
    <n v="1920"/>
    <x v="75"/>
    <x v="15"/>
    <n v="-1"/>
    <n v="1"/>
    <x v="8"/>
    <n v="5"/>
    <x v="0"/>
  </r>
  <r>
    <x v="79"/>
    <s v="KSh 1,460"/>
    <n v="1460"/>
    <s v="KSh 2,290"/>
    <n v="2290"/>
    <x v="76"/>
    <x v="39"/>
    <m/>
    <n v="0"/>
    <x v="10"/>
    <s v=""/>
    <x v="2"/>
  </r>
  <r>
    <x v="80"/>
    <s v="KSh 1,666"/>
    <n v="1666"/>
    <s v="KSh 1,699"/>
    <n v="1699"/>
    <x v="77"/>
    <x v="30"/>
    <m/>
    <n v="0"/>
    <x v="10"/>
    <s v=""/>
    <x v="2"/>
  </r>
  <r>
    <x v="81"/>
    <s v="KSh 330"/>
    <n v="330"/>
    <s v="KSh 647"/>
    <n v="647"/>
    <x v="78"/>
    <x v="15"/>
    <n v="-1"/>
    <n v="1"/>
    <x v="5"/>
    <n v="4"/>
    <x v="1"/>
  </r>
  <r>
    <x v="82"/>
    <s v="KSh 1,466"/>
    <n v="1466"/>
    <s v="KSh 1,699"/>
    <n v="1699"/>
    <x v="79"/>
    <x v="40"/>
    <m/>
    <n v="0"/>
    <x v="10"/>
    <s v=""/>
    <x v="2"/>
  </r>
  <r>
    <x v="83"/>
    <s v="KSh 274"/>
    <n v="274"/>
    <s v="KSh 537"/>
    <n v="537"/>
    <x v="80"/>
    <x v="15"/>
    <m/>
    <n v="0"/>
    <x v="10"/>
    <s v=""/>
    <x v="2"/>
  </r>
  <r>
    <x v="84"/>
    <s v="KSh 799"/>
    <n v="799"/>
    <s v="KSh 900"/>
    <n v="900"/>
    <x v="81"/>
    <x v="41"/>
    <m/>
    <n v="0"/>
    <x v="10"/>
    <s v=""/>
    <x v="2"/>
  </r>
  <r>
    <x v="85"/>
    <s v="KSh 1,468"/>
    <n v="1468"/>
    <s v="KSh 1,699"/>
    <n v="1699"/>
    <x v="82"/>
    <x v="40"/>
    <m/>
    <n v="0"/>
    <x v="10"/>
    <s v=""/>
    <x v="2"/>
  </r>
  <r>
    <x v="86"/>
    <s v="KSh 630"/>
    <n v="630"/>
    <s v="KSh 1,100"/>
    <n v="1100"/>
    <x v="22"/>
    <x v="37"/>
    <m/>
    <n v="0"/>
    <x v="10"/>
    <s v=""/>
    <x v="2"/>
  </r>
  <r>
    <x v="87"/>
    <s v="KSh 850"/>
    <n v="850"/>
    <s v="KSh 1,700"/>
    <n v="1700"/>
    <x v="83"/>
    <x v="29"/>
    <m/>
    <n v="0"/>
    <x v="10"/>
    <s v=""/>
    <x v="2"/>
  </r>
  <r>
    <x v="88"/>
    <s v="KSh 1,300"/>
    <n v="1300"/>
    <s v="KSh 2,500"/>
    <n v="2500"/>
    <x v="84"/>
    <x v="25"/>
    <m/>
    <n v="0"/>
    <x v="10"/>
    <s v=""/>
    <x v="2"/>
  </r>
  <r>
    <x v="89"/>
    <s v="KSh 105"/>
    <n v="105"/>
    <s v="KSh 200"/>
    <n v="200"/>
    <x v="85"/>
    <x v="25"/>
    <m/>
    <n v="0"/>
    <x v="10"/>
    <s v=""/>
    <x v="2"/>
  </r>
  <r>
    <x v="90"/>
    <s v="KSh 899"/>
    <n v="899"/>
    <s v="KSh 1,699"/>
    <n v="1699"/>
    <x v="86"/>
    <x v="1"/>
    <m/>
    <n v="0"/>
    <x v="10"/>
    <s v=""/>
    <x v="2"/>
  </r>
  <r>
    <x v="91"/>
    <s v="KSh 1,200"/>
    <n v="1200"/>
    <s v="KSh 2,400"/>
    <n v="2400"/>
    <x v="84"/>
    <x v="29"/>
    <m/>
    <n v="0"/>
    <x v="10"/>
    <s v=""/>
    <x v="2"/>
  </r>
  <r>
    <x v="92"/>
    <s v="KSh 1,526"/>
    <n v="1526"/>
    <s v="KSh 1,660"/>
    <n v="1660"/>
    <x v="87"/>
    <x v="42"/>
    <m/>
    <n v="0"/>
    <x v="10"/>
    <s v=""/>
    <x v="2"/>
  </r>
  <r>
    <x v="93"/>
    <s v="KSh 1,462"/>
    <n v="1462"/>
    <s v="KSh 1,499"/>
    <n v="1499"/>
    <x v="41"/>
    <x v="30"/>
    <m/>
    <n v="0"/>
    <x v="10"/>
    <s v=""/>
    <x v="2"/>
  </r>
  <r>
    <x v="94"/>
    <s v="KSh 248"/>
    <n v="248"/>
    <s v="KSh 486"/>
    <n v="486"/>
    <x v="39"/>
    <x v="15"/>
    <m/>
    <n v="0"/>
    <x v="10"/>
    <s v=""/>
    <x v="2"/>
  </r>
  <r>
    <x v="95"/>
    <s v="KSh 3,546"/>
    <n v="3546"/>
    <s v="KSh 3,699"/>
    <n v="3699"/>
    <x v="88"/>
    <x v="38"/>
    <m/>
    <n v="0"/>
    <x v="10"/>
    <s v=""/>
    <x v="2"/>
  </r>
  <r>
    <x v="96"/>
    <s v="KSh 525"/>
    <n v="525"/>
    <s v="KSh 1,029"/>
    <n v="1029"/>
    <x v="89"/>
    <x v="15"/>
    <m/>
    <n v="0"/>
    <x v="10"/>
    <s v=""/>
    <x v="2"/>
  </r>
  <r>
    <x v="97"/>
    <s v="KSh 1,080"/>
    <n v="1080"/>
    <s v="KSh 1,874"/>
    <n v="1874"/>
    <x v="90"/>
    <x v="11"/>
    <m/>
    <n v="0"/>
    <x v="10"/>
    <s v=""/>
    <x v="2"/>
  </r>
  <r>
    <x v="98"/>
    <s v="KSh 3,640"/>
    <n v="3640"/>
    <s v="KSh 4,588"/>
    <n v="4588"/>
    <x v="91"/>
    <x v="43"/>
    <n v="-1"/>
    <n v="1"/>
    <x v="8"/>
    <n v="5"/>
    <x v="0"/>
  </r>
  <r>
    <x v="99"/>
    <s v="KSh 1,420"/>
    <n v="1420"/>
    <s v="KSh 2,420"/>
    <n v="2420"/>
    <x v="63"/>
    <x v="28"/>
    <m/>
    <n v="0"/>
    <x v="10"/>
    <s v=""/>
    <x v="2"/>
  </r>
  <r>
    <x v="100"/>
    <s v="KSh 1,875"/>
    <n v="1875"/>
    <s v="KSh 1,899"/>
    <n v="1899"/>
    <x v="92"/>
    <x v="44"/>
    <m/>
    <n v="0"/>
    <x v="10"/>
    <s v=""/>
    <x v="2"/>
  </r>
  <r>
    <x v="101"/>
    <s v="KSh 198"/>
    <n v="198"/>
    <s v="KSh 260"/>
    <n v="260"/>
    <x v="93"/>
    <x v="6"/>
    <m/>
    <n v="0"/>
    <x v="10"/>
    <s v=""/>
    <x v="2"/>
  </r>
  <r>
    <x v="102"/>
    <s v="KSh 1,150"/>
    <n v="1150"/>
    <s v="KSh 1,737"/>
    <n v="1737"/>
    <x v="94"/>
    <x v="10"/>
    <m/>
    <n v="0"/>
    <x v="10"/>
    <s v=""/>
    <x v="2"/>
  </r>
  <r>
    <x v="103"/>
    <s v="KSh 1,190"/>
    <n v="1190"/>
    <s v="KSh 1,810"/>
    <n v="1810"/>
    <x v="95"/>
    <x v="10"/>
    <m/>
    <n v="0"/>
    <x v="10"/>
    <s v=""/>
    <x v="2"/>
  </r>
  <r>
    <x v="104"/>
    <s v="KSh 1,658"/>
    <n v="1658"/>
    <s v="KSh 1,699"/>
    <n v="1699"/>
    <x v="96"/>
    <x v="30"/>
    <m/>
    <n v="0"/>
    <x v="10"/>
    <s v=""/>
    <x v="2"/>
  </r>
  <r>
    <x v="105"/>
    <s v="KSh 1,768"/>
    <n v="1768"/>
    <s v="KSh 1,799"/>
    <n v="1799"/>
    <x v="97"/>
    <x v="30"/>
    <m/>
    <n v="0"/>
    <x v="10"/>
    <s v=""/>
    <x v="2"/>
  </r>
  <r>
    <x v="106"/>
    <s v="KSh 199"/>
    <n v="199"/>
    <s v="KSh 553"/>
    <n v="553"/>
    <x v="98"/>
    <x v="45"/>
    <m/>
    <n v="0"/>
    <x v="10"/>
    <s v=""/>
    <x v="2"/>
  </r>
  <r>
    <x v="107"/>
    <s v="KSh 450"/>
    <n v="450"/>
    <s v="KSh 900"/>
    <n v="900"/>
    <x v="40"/>
    <x v="29"/>
    <n v="-1"/>
    <n v="1"/>
    <x v="22"/>
    <n v="2"/>
    <x v="3"/>
  </r>
  <r>
    <x v="108"/>
    <s v="KSh 169"/>
    <n v="169"/>
    <s v="KSh 320"/>
    <n v="320"/>
    <x v="99"/>
    <x v="1"/>
    <m/>
    <n v="0"/>
    <x v="10"/>
    <s v=""/>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D31B8F-D226-4596-A6AF-29E4537AA15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7:C134" firstHeaderRow="1" firstDataRow="1" firstDataCol="0"/>
  <pivotFields count="12">
    <pivotField showAll="0"/>
    <pivotField showAll="0"/>
    <pivotField showAll="0"/>
    <pivotField showAll="0"/>
    <pivotField showAll="0"/>
    <pivotField showAll="0"/>
    <pivotField numFmtId="9" showAll="0"/>
    <pivotField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D1A830-31BA-4817-81C3-6CE0AA259A3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1:Q28" firstHeaderRow="1" firstDataRow="1" firstDataCol="0"/>
  <pivotFields count="12">
    <pivotField showAll="0"/>
    <pivotField showAll="0"/>
    <pivotField showAll="0"/>
    <pivotField showAll="0"/>
    <pivotField showAll="0"/>
    <pivotField showAll="0"/>
    <pivotField numFmtId="9" showAll="0"/>
    <pivotField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DAD4E4-C26C-496B-A11A-9EE9724E92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2">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dataField="1"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Std" fld="10" subtotal="average"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D92604-793B-4319-A370-7DC4E2A2C4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2">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showAll="0"/>
    <pivotField dataField="1"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Average of Reviews" fld="8" subtotal="average"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905DFB-C973-4C9C-840B-E78AFF5383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9" showAll="0"/>
    <pivotField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s>
  <rowFields count="1">
    <field x="0"/>
  </rowFields>
  <rowItems count="11">
    <i>
      <x v="31"/>
    </i>
    <i>
      <x v="53"/>
    </i>
    <i>
      <x v="70"/>
    </i>
    <i>
      <x v="30"/>
    </i>
    <i>
      <x v="67"/>
    </i>
    <i>
      <x v="84"/>
    </i>
    <i>
      <x v="52"/>
    </i>
    <i>
      <x v="20"/>
    </i>
    <i>
      <x v="64"/>
    </i>
    <i>
      <x v="60"/>
    </i>
    <i t="grand">
      <x/>
    </i>
  </rowItems>
  <colItems count="1">
    <i/>
  </colItems>
  <dataFields count="1">
    <dataField name="Sum of Discount" fld="6" baseField="0" baseItem="0" numFmtId="9"/>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AE31FC-E6B6-4D9B-9A33-D3EF8381E0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2">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showAll="0"/>
    <pivotField showAll="0"/>
    <pivotField showAll="0"/>
    <pivotField numFmtId="9" showAll="0"/>
    <pivotField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axis="axisRow" showAll="0">
      <items count="5">
        <item x="2"/>
        <item x="1"/>
        <item x="0"/>
        <item x="3"/>
        <item t="default"/>
      </items>
    </pivotField>
  </pivotFields>
  <rowFields count="1">
    <field x="11"/>
  </rowFields>
  <rowItems count="5">
    <i>
      <x/>
    </i>
    <i>
      <x v="1"/>
    </i>
    <i>
      <x v="2"/>
    </i>
    <i>
      <x v="3"/>
    </i>
    <i t="grand">
      <x/>
    </i>
  </rowItems>
  <colItems count="1">
    <i/>
  </colItems>
  <dataFields count="1">
    <dataField name="Count of Product" fld="0" subtotal="count" baseField="11" baseItem="0"/>
  </dataFields>
  <chartFormats count="15">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585855-249A-47F4-BA3A-7E7FAFB36FB9}"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roduct" fld="1" subtotal="count"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s>
  <pivotHierarchies count="17">
    <pivotHierarchy dragToData="1"/>
    <pivotHierarchy multipleItemSelectionAllowed="1" dragToData="1">
      <members count="5" level="1">
        <member name="[Range].[Product Type].&amp;[Cleaning &amp; Appliances]"/>
        <member name="[Range].[Product Type].&amp;[Home &amp; Kitchen]"/>
        <member name="[Range].[Product Type].&amp;[Home Decor]"/>
        <member name="[Range].[Product Type].&amp;[Other]"/>
        <member name="[Range].[Product Type].&amp;[Tools &amp; Hardware]"/>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A$1:$M$11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2A09EC-F2E1-4B20-8A1D-D2C35474CD9D}" name="PivotTable1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2">
    <pivotField axis="axisRow"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pivotFields>
  <rowFields count="1">
    <field x="0"/>
  </rowFields>
  <rowItems count="6">
    <i>
      <x/>
    </i>
    <i>
      <x v="1"/>
    </i>
    <i>
      <x v="2"/>
    </i>
    <i>
      <x v="3"/>
    </i>
    <i>
      <x v="4"/>
    </i>
    <i t="grand">
      <x/>
    </i>
  </rowItems>
  <pivotHierarchies count="1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jumia_dataset!$A$1:$M$11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B444A88-4A9F-4C00-9BE2-9AA2FB1D1485}" sourceName="Rating">
  <pivotTables>
    <pivotTable tabId="5" name="PivotTable4"/>
    <pivotTable tabId="1" name="PivotTable15"/>
    <pivotTable tabId="1" name="PivotTable8"/>
    <pivotTable tabId="4" name="PivotTable3"/>
    <pivotTable tabId="2" name="PivotTable1"/>
    <pivotTable tabId="3" name="PivotTable2"/>
  </pivotTables>
  <data>
    <tabular pivotCacheId="174663953">
      <items count="23">
        <i x="22" s="1"/>
        <i x="15" s="1"/>
        <i x="19" s="1"/>
        <i x="20" s="1"/>
        <i x="13" s="1"/>
        <i x="21" s="1"/>
        <i x="17" s="1"/>
        <i x="16" s="1"/>
        <i x="18" s="1"/>
        <i x="14" s="1"/>
        <i x="9" s="1"/>
        <i x="6" s="1"/>
        <i x="5" s="1"/>
        <i x="1" s="1"/>
        <i x="7" s="1"/>
        <i x="12" s="1"/>
        <i x="11" s="1"/>
        <i x="0" s="1"/>
        <i x="2" s="1"/>
        <i x="3" s="1"/>
        <i x="4" s="1"/>
        <i x="8"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3C429E96-5513-45EC-81F4-97D3DA0B9E62}" sourceName="[Range].[Discount Category]">
  <pivotTables>
    <pivotTable tabId="10" name="PivotTable10"/>
    <pivotTable tabId="19" name="PivotTable18"/>
  </pivotTables>
  <data>
    <olap pivotCacheId="952088523">
      <levels count="2">
        <level uniqueName="[Range].[Discount Category].[(All)]" sourceCaption="(All)" count="0"/>
        <level uniqueName="[Range].[Discount Category].[Discount Category]" sourceCaption="Discount Category" count="3">
          <ranges>
            <range startItem="0">
              <i n="[Range].[Discount Category].&amp;[High]" c="High"/>
              <i n="[Range].[Discount Category].&amp;[Low]" c="Low"/>
              <i n="[Range].[Discount Category].&amp;[Medium]" c="Medium"/>
            </range>
          </ranges>
        </level>
      </levels>
      <selections count="1">
        <selection n="[Range].[Discoun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535847EE-127E-48C3-9652-59221B0A56D2}" sourceName="[Range].[Product Type]">
  <pivotTables>
    <pivotTable tabId="19" name="PivotTable18"/>
    <pivotTable tabId="10" name="PivotTable10"/>
  </pivotTables>
  <data>
    <olap pivotCacheId="1929565857">
      <levels count="2">
        <level uniqueName="[Range].[Product Type].[(All)]" sourceCaption="(All)" count="0"/>
        <level uniqueName="[Range].[Product Type].[Product Type]" sourceCaption="Product Type" count="6">
          <ranges>
            <range startItem="0">
              <i n="[Range].[Product Type].&amp;[Cleaning &amp; Appliances]" c="Cleaning &amp; Appliances"/>
              <i n="[Range].[Product Type].&amp;[Craft &amp; DIY]" c="Craft &amp; DIY"/>
              <i n="[Range].[Product Type].&amp;[Home &amp; Kitchen]" c="Home &amp; Kitchen"/>
              <i n="[Range].[Product Type].&amp;[Home Decor]" c="Home Decor"/>
              <i n="[Range].[Product Type].&amp;[Other]" c="Other"/>
              <i n="[Range].[Product Type].&amp;[Tools &amp; Hardware]" c="Tools &amp; Hardware"/>
            </range>
          </ranges>
        </level>
      </levels>
      <selections count="5">
        <selection n="[Range].[Product Type].&amp;[Cleaning &amp; Appliances]"/>
        <selection n="[Range].[Product Type].&amp;[Home &amp; Kitchen]"/>
        <selection n="[Range].[Product Type].&amp;[Home Decor]"/>
        <selection n="[Range].[Product Type].&amp;[Other]"/>
        <selection n="[Range].[Product Type].&amp;[Tools &amp; Hardwa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1" xr10:uid="{218EF3F9-C661-450B-BB4F-6A5C2DA84B1B}" cache="Slicer_Rating" caption="Rating" rowHeight="241300"/>
  <slicer name="Discount Category 1" xr10:uid="{E45C52BF-2E52-48A7-BC2F-0B50A3A5F833}" cache="Slicer_Discount_Category" caption="Discount Category" level="1" rowHeight="241300"/>
  <slicer name="Product Type 1" xr10:uid="{08968F72-7E87-4237-9442-6E06F9A61F02}" cache="Slicer_Product_Type" caption="Product Typ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9A0061CC-A052-446B-B1AC-298A6D82F943}" cache="Slicer_Rating" caption="Rating"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0ECC9152-896E-4017-9A25-C011C285538A}" cache="Slicer_Discount_Category" caption="Discount Catego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B47C5543-9A6F-4E2D-AC3B-B137310ECA06}" cache="Slicer_Product_Type" caption="Product Typ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4F666-3101-418E-A8C7-79EB4BEFBF16}">
  <dimension ref="A1"/>
  <sheetViews>
    <sheetView tabSelected="1" zoomScale="59" zoomScaleNormal="60" workbookViewId="0">
      <selection activeCell="W19" sqref="W19"/>
    </sheetView>
  </sheetViews>
  <sheetFormatPr defaultRowHeight="15" x14ac:dyDescent="0.25"/>
  <cols>
    <col min="1" max="16384" width="9.140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805D9-09E9-4D0C-90A3-1CC8C4A90029}">
  <dimension ref="A1:Q134"/>
  <sheetViews>
    <sheetView topLeftCell="D1" zoomScale="106" zoomScaleNormal="106" workbookViewId="0">
      <pane ySplit="1" topLeftCell="A2" activePane="bottomLeft" state="frozen"/>
      <selection pane="bottomLeft" activeCell="E119" sqref="E119"/>
    </sheetView>
  </sheetViews>
  <sheetFormatPr defaultRowHeight="15" x14ac:dyDescent="0.25"/>
  <cols>
    <col min="1" max="2" width="32.85546875" customWidth="1"/>
    <col min="3" max="3" width="12.5703125" customWidth="1"/>
    <col min="4" max="4" width="10" customWidth="1"/>
    <col min="5" max="5" width="11.28515625" customWidth="1"/>
    <col min="6" max="7" width="12.140625" customWidth="1"/>
    <col min="9" max="9" width="16.42578125" customWidth="1"/>
    <col min="11" max="11" width="9.140625" style="15"/>
    <col min="12" max="12" width="15.140625" customWidth="1"/>
    <col min="13" max="14" width="13.28515625" customWidth="1"/>
  </cols>
  <sheetData>
    <row r="1" spans="1:17" x14ac:dyDescent="0.25">
      <c r="A1" s="2" t="s">
        <v>0</v>
      </c>
      <c r="B1" s="2" t="s">
        <v>336</v>
      </c>
      <c r="C1" s="2" t="s">
        <v>1</v>
      </c>
      <c r="D1" s="2" t="s">
        <v>315</v>
      </c>
      <c r="E1" s="2" t="s">
        <v>2</v>
      </c>
      <c r="F1" s="2" t="s">
        <v>316</v>
      </c>
      <c r="G1" s="2" t="s">
        <v>320</v>
      </c>
      <c r="H1" s="2" t="s">
        <v>3</v>
      </c>
      <c r="I1" s="2" t="s">
        <v>333</v>
      </c>
      <c r="J1" s="2" t="s">
        <v>4</v>
      </c>
      <c r="K1" s="14" t="s">
        <v>319</v>
      </c>
      <c r="L1" s="2" t="s">
        <v>317</v>
      </c>
      <c r="M1" s="2" t="s">
        <v>318</v>
      </c>
      <c r="N1" s="2" t="s">
        <v>321</v>
      </c>
    </row>
    <row r="2" spans="1:17" x14ac:dyDescent="0.25">
      <c r="A2" t="s">
        <v>5</v>
      </c>
      <c r="B2" t="str">
        <f>IF(OR(ISNUMBER(SEARCH("screwdriver",A2)),ISNUMBER(SEARCH("drill",A2)),ISNUMBER(SEARCH("grinder",A2))),"Tools &amp; Hardware",
IF(OR(ISNUMBER(SEARCH("vacuum",A2)),ISNUMBER(SEARCH("humidifier",A2)),ISNUMBER(SEARCH("fan",A2))),"Cleaning &amp; Appliances",
IF(OR(ISNUMBER(SEARCH("hook",A2)),ISNUMBER(SEARCH("clock",A2)),ISNUMBER(SEARCH("rack",A2)),ISNUMBER(SEARCH("table",A2))),"Home &amp; Kitchen",
IF(OR(ISNUMBER(SEARCH("pillow",A2)),ISNUMBER(SEARCH("cushion",A2)),ISNUMBER(SEARCH("decor",A2))),"Home Decor",
IF(OR(ISNUMBER(SEARCH("crochet",A2)),ISNUMBER(SEARCH("knitting",A2)),ISNUMBER(SEARCH("cake",A2))),"Craft &amp; DIY",
"Other")))))</f>
        <v>Tools &amp; Hardware</v>
      </c>
      <c r="C2" t="s">
        <v>6</v>
      </c>
      <c r="D2">
        <f>VALUE(SUBSTITUTE(SUBSTITUTE(C2,"KSh ",""),",",""))</f>
        <v>950</v>
      </c>
      <c r="E2" t="s">
        <v>7</v>
      </c>
      <c r="F2">
        <f>VALUE(SUBSTITUTE(SUBSTITUTE(E2,"KSh ",""),",",""))</f>
        <v>1525</v>
      </c>
      <c r="G2">
        <f>F2-D2</f>
        <v>575</v>
      </c>
      <c r="H2" s="1">
        <v>0.38</v>
      </c>
      <c r="I2" t="str">
        <f>IF(H2&lt;20%,"Low",
 IF(H2&lt;=40%,"Medium ",
 "High"))</f>
        <v xml:space="preserve">Medium </v>
      </c>
      <c r="J2">
        <v>-2</v>
      </c>
      <c r="K2" s="15">
        <f>IF(J2="","",ABS(J2))</f>
        <v>2</v>
      </c>
      <c r="L2" t="s">
        <v>8</v>
      </c>
      <c r="M2">
        <f>IF(L2="","",VALUE(LEFT(L2,FIND(" ",L2)-1)))</f>
        <v>4.5</v>
      </c>
      <c r="N2" t="str">
        <f>IF(M2="","",IF(M2&lt;3,"Poor",IF(M2&lt;4.5,"Average","Excellent")))</f>
        <v>Excellent</v>
      </c>
    </row>
    <row r="3" spans="1:17" x14ac:dyDescent="0.25">
      <c r="A3" t="s">
        <v>9</v>
      </c>
      <c r="B3" t="str">
        <f t="shared" ref="B3:B66" si="0">IF(OR(ISNUMBER(SEARCH("screwdriver",A3)),ISNUMBER(SEARCH("drill",A3)),ISNUMBER(SEARCH("grinder",A3))),"Tools &amp; Hardware",
IF(OR(ISNUMBER(SEARCH("vacuum",A3)),ISNUMBER(SEARCH("humidifier",A3)),ISNUMBER(SEARCH("fan",A3))),"Cleaning &amp; Appliances",
IF(OR(ISNUMBER(SEARCH("hook",A3)),ISNUMBER(SEARCH("clock",A3)),ISNUMBER(SEARCH("rack",A3)),ISNUMBER(SEARCH("table",A3))),"Home &amp; Kitchen",
IF(OR(ISNUMBER(SEARCH("pillow",A3)),ISNUMBER(SEARCH("cushion",A3)),ISNUMBER(SEARCH("decor",A3))),"Home Decor",
IF(OR(ISNUMBER(SEARCH("crochet",A3)),ISNUMBER(SEARCH("knitting",A3)),ISNUMBER(SEARCH("cake",A3))),"Craft &amp; DIY",
"Other")))))</f>
        <v>Home &amp; Kitchen</v>
      </c>
      <c r="C3" t="s">
        <v>10</v>
      </c>
      <c r="D3">
        <f t="shared" ref="D3:D66" si="1">VALUE(SUBSTITUTE(SUBSTITUTE(C3,"KSh ",""),",",""))</f>
        <v>527</v>
      </c>
      <c r="E3" t="s">
        <v>11</v>
      </c>
      <c r="F3">
        <f t="shared" ref="F3:F66" si="2">VALUE(SUBSTITUTE(SUBSTITUTE(E3,"KSh ",""),",",""))</f>
        <v>999</v>
      </c>
      <c r="G3">
        <f t="shared" ref="G3:G66" si="3">F3-D3</f>
        <v>472</v>
      </c>
      <c r="H3" s="1">
        <v>0.47</v>
      </c>
      <c r="I3" t="str">
        <f t="shared" ref="I3:I66" si="4">IF(H3&lt;20%,"Low",
 IF(H3&lt;=40%,"Medium ",
 "High"))</f>
        <v>High</v>
      </c>
      <c r="J3">
        <v>-14</v>
      </c>
      <c r="K3" s="15">
        <f t="shared" ref="K3:K66" si="5">IF(J3="","",ABS(J3))</f>
        <v>14</v>
      </c>
      <c r="L3" t="s">
        <v>12</v>
      </c>
      <c r="M3">
        <f t="shared" ref="M3:M66" si="6">IF(L3="","",VALUE(LEFT(L3,FIND(" ",L3)-1)))</f>
        <v>4.0999999999999996</v>
      </c>
      <c r="N3" t="str">
        <f t="shared" ref="N3:N66" si="7">IF(M3="","",IF(M3&lt;3,"Poor",IF(M3&lt;4.5,"Average","Excellent")))</f>
        <v>Average</v>
      </c>
    </row>
    <row r="4" spans="1:17" x14ac:dyDescent="0.25">
      <c r="A4" t="s">
        <v>13</v>
      </c>
      <c r="B4" t="str">
        <f t="shared" si="0"/>
        <v>Cleaning &amp; Appliances</v>
      </c>
      <c r="C4" t="s">
        <v>14</v>
      </c>
      <c r="D4">
        <f t="shared" si="1"/>
        <v>2199</v>
      </c>
      <c r="E4" t="s">
        <v>15</v>
      </c>
      <c r="F4">
        <f t="shared" si="2"/>
        <v>2923</v>
      </c>
      <c r="G4">
        <f t="shared" si="3"/>
        <v>724</v>
      </c>
      <c r="H4" s="1">
        <v>0.25</v>
      </c>
      <c r="I4" t="str">
        <f t="shared" si="4"/>
        <v xml:space="preserve">Medium </v>
      </c>
      <c r="J4">
        <v>-24</v>
      </c>
      <c r="K4" s="15">
        <f t="shared" si="5"/>
        <v>24</v>
      </c>
      <c r="L4" t="s">
        <v>16</v>
      </c>
      <c r="M4">
        <f t="shared" si="6"/>
        <v>4.5999999999999996</v>
      </c>
      <c r="N4" t="str">
        <f t="shared" si="7"/>
        <v>Excellent</v>
      </c>
    </row>
    <row r="5" spans="1:17" x14ac:dyDescent="0.25">
      <c r="A5" t="s">
        <v>17</v>
      </c>
      <c r="B5" t="str">
        <f t="shared" si="0"/>
        <v>Other</v>
      </c>
      <c r="C5" t="s">
        <v>18</v>
      </c>
      <c r="D5">
        <f t="shared" si="1"/>
        <v>1580</v>
      </c>
      <c r="E5" t="s">
        <v>19</v>
      </c>
      <c r="F5">
        <f t="shared" si="2"/>
        <v>2499</v>
      </c>
      <c r="G5">
        <f t="shared" si="3"/>
        <v>919</v>
      </c>
      <c r="H5" s="1">
        <v>0.37</v>
      </c>
      <c r="I5" t="str">
        <f t="shared" si="4"/>
        <v xml:space="preserve">Medium </v>
      </c>
      <c r="J5">
        <v>-7</v>
      </c>
      <c r="K5" s="15">
        <f t="shared" si="5"/>
        <v>7</v>
      </c>
      <c r="L5" t="s">
        <v>20</v>
      </c>
      <c r="M5">
        <f t="shared" si="6"/>
        <v>4.7</v>
      </c>
      <c r="N5" t="str">
        <f t="shared" si="7"/>
        <v>Excellent</v>
      </c>
    </row>
    <row r="6" spans="1:17" x14ac:dyDescent="0.25">
      <c r="A6" t="s">
        <v>21</v>
      </c>
      <c r="B6" t="str">
        <f t="shared" si="0"/>
        <v>Cleaning &amp; Appliances</v>
      </c>
      <c r="C6" t="s">
        <v>22</v>
      </c>
      <c r="D6">
        <f t="shared" si="1"/>
        <v>1740</v>
      </c>
      <c r="E6" t="s">
        <v>23</v>
      </c>
      <c r="F6">
        <f t="shared" si="2"/>
        <v>2356</v>
      </c>
      <c r="G6">
        <f t="shared" si="3"/>
        <v>616</v>
      </c>
      <c r="H6" s="1">
        <v>0.26</v>
      </c>
      <c r="I6" t="str">
        <f t="shared" si="4"/>
        <v xml:space="preserve">Medium </v>
      </c>
      <c r="J6">
        <v>-5</v>
      </c>
      <c r="K6" s="15">
        <f t="shared" si="5"/>
        <v>5</v>
      </c>
      <c r="L6" t="s">
        <v>24</v>
      </c>
      <c r="M6">
        <f t="shared" si="6"/>
        <v>4.8</v>
      </c>
      <c r="N6" t="str">
        <f t="shared" si="7"/>
        <v>Excellent</v>
      </c>
    </row>
    <row r="7" spans="1:17" x14ac:dyDescent="0.25">
      <c r="A7" t="s">
        <v>25</v>
      </c>
      <c r="B7" t="str">
        <f t="shared" si="0"/>
        <v>Other</v>
      </c>
      <c r="C7" t="s">
        <v>26</v>
      </c>
      <c r="D7">
        <f t="shared" si="1"/>
        <v>2999</v>
      </c>
      <c r="E7" t="s">
        <v>27</v>
      </c>
      <c r="F7">
        <f t="shared" si="2"/>
        <v>3290</v>
      </c>
      <c r="G7">
        <f t="shared" si="3"/>
        <v>291</v>
      </c>
      <c r="H7" s="1">
        <v>0.09</v>
      </c>
      <c r="I7" t="str">
        <f t="shared" si="4"/>
        <v>Low</v>
      </c>
      <c r="J7">
        <v>-15</v>
      </c>
      <c r="K7" s="15">
        <f t="shared" si="5"/>
        <v>15</v>
      </c>
      <c r="L7" t="s">
        <v>28</v>
      </c>
      <c r="M7">
        <f t="shared" si="6"/>
        <v>4</v>
      </c>
      <c r="N7" t="str">
        <f t="shared" si="7"/>
        <v>Average</v>
      </c>
    </row>
    <row r="8" spans="1:17" x14ac:dyDescent="0.25">
      <c r="A8" t="s">
        <v>29</v>
      </c>
      <c r="B8" t="str">
        <f t="shared" si="0"/>
        <v>Home Decor</v>
      </c>
      <c r="C8" t="s">
        <v>30</v>
      </c>
      <c r="D8">
        <f t="shared" si="1"/>
        <v>2319</v>
      </c>
      <c r="E8" t="s">
        <v>31</v>
      </c>
      <c r="F8">
        <f t="shared" si="2"/>
        <v>3032</v>
      </c>
      <c r="G8">
        <f t="shared" si="3"/>
        <v>713</v>
      </c>
      <c r="H8" s="1">
        <v>0.24</v>
      </c>
      <c r="I8" t="str">
        <f t="shared" si="4"/>
        <v xml:space="preserve">Medium </v>
      </c>
      <c r="J8">
        <v>-55</v>
      </c>
      <c r="K8" s="15">
        <f t="shared" si="5"/>
        <v>55</v>
      </c>
      <c r="L8" t="s">
        <v>16</v>
      </c>
      <c r="M8">
        <f t="shared" si="6"/>
        <v>4.5999999999999996</v>
      </c>
      <c r="N8" t="str">
        <f t="shared" si="7"/>
        <v>Excellent</v>
      </c>
    </row>
    <row r="9" spans="1:17" x14ac:dyDescent="0.25">
      <c r="A9" t="s">
        <v>32</v>
      </c>
      <c r="B9" t="str">
        <f t="shared" si="0"/>
        <v>Cleaning &amp; Appliances</v>
      </c>
      <c r="C9" t="s">
        <v>33</v>
      </c>
      <c r="D9">
        <f t="shared" si="1"/>
        <v>988</v>
      </c>
      <c r="E9" t="s">
        <v>18</v>
      </c>
      <c r="F9">
        <f t="shared" si="2"/>
        <v>1580</v>
      </c>
      <c r="G9">
        <f t="shared" si="3"/>
        <v>592</v>
      </c>
      <c r="H9" s="1">
        <v>0.37</v>
      </c>
      <c r="I9" t="str">
        <f t="shared" si="4"/>
        <v xml:space="preserve">Medium </v>
      </c>
      <c r="J9">
        <v>-2</v>
      </c>
      <c r="K9" s="15">
        <f t="shared" si="5"/>
        <v>2</v>
      </c>
      <c r="L9" t="s">
        <v>28</v>
      </c>
      <c r="M9">
        <f t="shared" si="6"/>
        <v>4</v>
      </c>
      <c r="N9" t="str">
        <f t="shared" si="7"/>
        <v>Average</v>
      </c>
    </row>
    <row r="10" spans="1:17" x14ac:dyDescent="0.25">
      <c r="A10" t="s">
        <v>34</v>
      </c>
      <c r="B10" t="str">
        <f t="shared" si="0"/>
        <v>Home &amp; Kitchen</v>
      </c>
      <c r="C10" t="s">
        <v>35</v>
      </c>
      <c r="D10">
        <f t="shared" si="1"/>
        <v>1274</v>
      </c>
      <c r="E10" t="s">
        <v>36</v>
      </c>
      <c r="F10">
        <f t="shared" si="2"/>
        <v>2800</v>
      </c>
      <c r="G10">
        <f t="shared" si="3"/>
        <v>1526</v>
      </c>
      <c r="H10" s="1">
        <v>0.55000000000000004</v>
      </c>
      <c r="I10" t="str">
        <f t="shared" si="4"/>
        <v>High</v>
      </c>
      <c r="J10">
        <v>-5</v>
      </c>
      <c r="K10" s="15">
        <f t="shared" si="5"/>
        <v>5</v>
      </c>
      <c r="L10" t="s">
        <v>24</v>
      </c>
      <c r="M10">
        <f t="shared" si="6"/>
        <v>4.8</v>
      </c>
      <c r="N10" t="str">
        <f t="shared" si="7"/>
        <v>Excellent</v>
      </c>
    </row>
    <row r="11" spans="1:17" x14ac:dyDescent="0.25">
      <c r="A11" t="s">
        <v>37</v>
      </c>
      <c r="B11" t="str">
        <f t="shared" si="0"/>
        <v>Other</v>
      </c>
      <c r="C11" t="s">
        <v>38</v>
      </c>
      <c r="D11">
        <f t="shared" si="1"/>
        <v>1600</v>
      </c>
      <c r="E11" t="s">
        <v>39</v>
      </c>
      <c r="F11">
        <f t="shared" si="2"/>
        <v>2929</v>
      </c>
      <c r="G11">
        <f t="shared" si="3"/>
        <v>1329</v>
      </c>
      <c r="H11" s="1">
        <v>0.45</v>
      </c>
      <c r="I11" t="str">
        <f t="shared" si="4"/>
        <v>High</v>
      </c>
      <c r="J11">
        <v>-5</v>
      </c>
      <c r="K11" s="15">
        <f t="shared" si="5"/>
        <v>5</v>
      </c>
      <c r="L11" t="s">
        <v>40</v>
      </c>
      <c r="M11">
        <f t="shared" si="6"/>
        <v>3.8</v>
      </c>
      <c r="N11" t="str">
        <f t="shared" si="7"/>
        <v>Average</v>
      </c>
      <c r="O11" s="3"/>
      <c r="P11" s="4"/>
      <c r="Q11" s="5"/>
    </row>
    <row r="12" spans="1:17" x14ac:dyDescent="0.25">
      <c r="A12" t="s">
        <v>41</v>
      </c>
      <c r="B12" t="str">
        <f t="shared" si="0"/>
        <v>Tools &amp; Hardware</v>
      </c>
      <c r="C12" t="s">
        <v>42</v>
      </c>
      <c r="D12">
        <f t="shared" si="1"/>
        <v>799</v>
      </c>
      <c r="E12" t="s">
        <v>11</v>
      </c>
      <c r="F12">
        <f t="shared" si="2"/>
        <v>999</v>
      </c>
      <c r="G12">
        <f t="shared" si="3"/>
        <v>200</v>
      </c>
      <c r="H12" s="1">
        <v>0.2</v>
      </c>
      <c r="I12" t="str">
        <f t="shared" si="4"/>
        <v xml:space="preserve">Medium </v>
      </c>
      <c r="J12">
        <v>-12</v>
      </c>
      <c r="K12" s="15">
        <f t="shared" si="5"/>
        <v>12</v>
      </c>
      <c r="L12" t="s">
        <v>12</v>
      </c>
      <c r="M12">
        <f t="shared" si="6"/>
        <v>4.0999999999999996</v>
      </c>
      <c r="N12" t="str">
        <f t="shared" si="7"/>
        <v>Average</v>
      </c>
      <c r="O12" s="6"/>
      <c r="P12" s="7"/>
      <c r="Q12" s="8"/>
    </row>
    <row r="13" spans="1:17" x14ac:dyDescent="0.25">
      <c r="A13" t="s">
        <v>43</v>
      </c>
      <c r="B13" t="str">
        <f t="shared" si="0"/>
        <v>Home &amp; Kitchen</v>
      </c>
      <c r="C13" t="s">
        <v>44</v>
      </c>
      <c r="D13">
        <f t="shared" si="1"/>
        <v>990</v>
      </c>
      <c r="E13" t="s">
        <v>45</v>
      </c>
      <c r="F13">
        <f t="shared" si="2"/>
        <v>1500</v>
      </c>
      <c r="G13">
        <f t="shared" si="3"/>
        <v>510</v>
      </c>
      <c r="H13" s="1">
        <v>0.34</v>
      </c>
      <c r="I13" t="str">
        <f t="shared" si="4"/>
        <v xml:space="preserve">Medium </v>
      </c>
      <c r="J13">
        <v>-39</v>
      </c>
      <c r="K13" s="15">
        <f t="shared" si="5"/>
        <v>39</v>
      </c>
      <c r="L13" t="s">
        <v>20</v>
      </c>
      <c r="M13">
        <f t="shared" si="6"/>
        <v>4.7</v>
      </c>
      <c r="N13" t="str">
        <f t="shared" si="7"/>
        <v>Excellent</v>
      </c>
      <c r="O13" s="6"/>
      <c r="P13" s="7"/>
      <c r="Q13" s="8"/>
    </row>
    <row r="14" spans="1:17" x14ac:dyDescent="0.25">
      <c r="A14" t="s">
        <v>46</v>
      </c>
      <c r="B14" t="str">
        <f t="shared" si="0"/>
        <v>Home &amp; Kitchen</v>
      </c>
      <c r="C14" t="s">
        <v>47</v>
      </c>
      <c r="D14">
        <f t="shared" si="1"/>
        <v>552</v>
      </c>
      <c r="E14" t="s">
        <v>48</v>
      </c>
      <c r="F14">
        <f t="shared" si="2"/>
        <v>1035</v>
      </c>
      <c r="G14">
        <f t="shared" si="3"/>
        <v>483</v>
      </c>
      <c r="H14" s="1">
        <v>0.47</v>
      </c>
      <c r="I14" t="str">
        <f t="shared" si="4"/>
        <v>High</v>
      </c>
      <c r="J14">
        <v>-12</v>
      </c>
      <c r="K14" s="15">
        <f t="shared" si="5"/>
        <v>12</v>
      </c>
      <c r="L14" t="s">
        <v>24</v>
      </c>
      <c r="M14">
        <f t="shared" si="6"/>
        <v>4.8</v>
      </c>
      <c r="N14" t="str">
        <f t="shared" si="7"/>
        <v>Excellent</v>
      </c>
      <c r="O14" s="6"/>
      <c r="P14" s="7"/>
      <c r="Q14" s="8"/>
    </row>
    <row r="15" spans="1:17" x14ac:dyDescent="0.25">
      <c r="A15" t="s">
        <v>49</v>
      </c>
      <c r="B15" t="str">
        <f t="shared" si="0"/>
        <v>Other</v>
      </c>
      <c r="C15" t="s">
        <v>50</v>
      </c>
      <c r="D15">
        <f t="shared" si="1"/>
        <v>501</v>
      </c>
      <c r="E15" t="s">
        <v>51</v>
      </c>
      <c r="F15">
        <f t="shared" si="2"/>
        <v>860</v>
      </c>
      <c r="G15">
        <f t="shared" si="3"/>
        <v>359</v>
      </c>
      <c r="H15" s="1">
        <v>0.42</v>
      </c>
      <c r="I15" t="str">
        <f t="shared" si="4"/>
        <v>High</v>
      </c>
      <c r="J15">
        <v>-6</v>
      </c>
      <c r="K15" s="15">
        <f t="shared" si="5"/>
        <v>6</v>
      </c>
      <c r="L15" t="s">
        <v>8</v>
      </c>
      <c r="M15">
        <f t="shared" si="6"/>
        <v>4.5</v>
      </c>
      <c r="N15" t="str">
        <f t="shared" si="7"/>
        <v>Excellent</v>
      </c>
      <c r="O15" s="6"/>
      <c r="P15" s="7"/>
      <c r="Q15" s="8"/>
    </row>
    <row r="16" spans="1:17" x14ac:dyDescent="0.25">
      <c r="A16" t="s">
        <v>52</v>
      </c>
      <c r="B16" t="str">
        <f t="shared" si="0"/>
        <v>Other</v>
      </c>
      <c r="C16" t="s">
        <v>53</v>
      </c>
      <c r="D16">
        <f t="shared" si="1"/>
        <v>1680</v>
      </c>
      <c r="E16" t="s">
        <v>19</v>
      </c>
      <c r="F16">
        <f t="shared" si="2"/>
        <v>2499</v>
      </c>
      <c r="G16">
        <f t="shared" si="3"/>
        <v>819</v>
      </c>
      <c r="H16" s="1">
        <v>0.33</v>
      </c>
      <c r="I16" t="str">
        <f t="shared" si="4"/>
        <v xml:space="preserve">Medium </v>
      </c>
      <c r="J16">
        <v>-9</v>
      </c>
      <c r="K16" s="15">
        <f t="shared" si="5"/>
        <v>9</v>
      </c>
      <c r="L16" t="s">
        <v>54</v>
      </c>
      <c r="M16">
        <f t="shared" si="6"/>
        <v>4.2</v>
      </c>
      <c r="N16" t="str">
        <f t="shared" si="7"/>
        <v>Average</v>
      </c>
      <c r="O16" s="6"/>
      <c r="P16" s="7"/>
      <c r="Q16" s="8"/>
    </row>
    <row r="17" spans="1:17" x14ac:dyDescent="0.25">
      <c r="A17" t="s">
        <v>55</v>
      </c>
      <c r="B17" t="str">
        <f t="shared" si="0"/>
        <v>Other</v>
      </c>
      <c r="C17" t="s">
        <v>56</v>
      </c>
      <c r="D17">
        <f t="shared" si="1"/>
        <v>332</v>
      </c>
      <c r="E17" t="s">
        <v>57</v>
      </c>
      <c r="F17">
        <f t="shared" si="2"/>
        <v>684</v>
      </c>
      <c r="G17">
        <f t="shared" si="3"/>
        <v>352</v>
      </c>
      <c r="H17" s="1">
        <v>0.51</v>
      </c>
      <c r="I17" t="str">
        <f t="shared" si="4"/>
        <v>High</v>
      </c>
      <c r="J17">
        <v>-2</v>
      </c>
      <c r="K17" s="15">
        <f t="shared" si="5"/>
        <v>2</v>
      </c>
      <c r="L17" t="s">
        <v>58</v>
      </c>
      <c r="M17">
        <f t="shared" si="6"/>
        <v>5</v>
      </c>
      <c r="N17" t="str">
        <f t="shared" si="7"/>
        <v>Excellent</v>
      </c>
      <c r="O17" s="6"/>
      <c r="P17" s="7"/>
      <c r="Q17" s="8"/>
    </row>
    <row r="18" spans="1:17" x14ac:dyDescent="0.25">
      <c r="A18" t="s">
        <v>59</v>
      </c>
      <c r="B18" t="str">
        <f t="shared" si="0"/>
        <v>Home Decor</v>
      </c>
      <c r="C18" t="s">
        <v>60</v>
      </c>
      <c r="D18">
        <f t="shared" si="1"/>
        <v>195</v>
      </c>
      <c r="E18" t="s">
        <v>61</v>
      </c>
      <c r="F18">
        <f t="shared" si="2"/>
        <v>360</v>
      </c>
      <c r="G18">
        <f t="shared" si="3"/>
        <v>165</v>
      </c>
      <c r="H18" s="1">
        <v>0.46</v>
      </c>
      <c r="I18" t="str">
        <f t="shared" si="4"/>
        <v>High</v>
      </c>
      <c r="J18">
        <v>-2</v>
      </c>
      <c r="K18" s="15">
        <f t="shared" si="5"/>
        <v>2</v>
      </c>
      <c r="L18" t="s">
        <v>58</v>
      </c>
      <c r="M18">
        <f t="shared" si="6"/>
        <v>5</v>
      </c>
      <c r="N18" t="str">
        <f t="shared" si="7"/>
        <v>Excellent</v>
      </c>
      <c r="O18" s="6"/>
      <c r="P18" s="7"/>
      <c r="Q18" s="8"/>
    </row>
    <row r="19" spans="1:17" x14ac:dyDescent="0.25">
      <c r="A19" t="s">
        <v>62</v>
      </c>
      <c r="B19" t="str">
        <f t="shared" si="0"/>
        <v>Other</v>
      </c>
      <c r="C19" t="s">
        <v>63</v>
      </c>
      <c r="D19">
        <f t="shared" si="1"/>
        <v>2025</v>
      </c>
      <c r="E19" t="s">
        <v>64</v>
      </c>
      <c r="F19">
        <f t="shared" si="2"/>
        <v>3971</v>
      </c>
      <c r="G19">
        <f t="shared" si="3"/>
        <v>1946</v>
      </c>
      <c r="H19" s="1">
        <v>0.49</v>
      </c>
      <c r="I19" t="str">
        <f t="shared" si="4"/>
        <v>High</v>
      </c>
      <c r="J19">
        <v>-3</v>
      </c>
      <c r="K19" s="15">
        <f t="shared" si="5"/>
        <v>3</v>
      </c>
      <c r="L19" t="s">
        <v>58</v>
      </c>
      <c r="M19">
        <f t="shared" si="6"/>
        <v>5</v>
      </c>
      <c r="N19" t="str">
        <f t="shared" si="7"/>
        <v>Excellent</v>
      </c>
      <c r="O19" s="6"/>
      <c r="P19" s="7"/>
      <c r="Q19" s="8"/>
    </row>
    <row r="20" spans="1:17" x14ac:dyDescent="0.25">
      <c r="A20" t="s">
        <v>65</v>
      </c>
      <c r="B20" t="str">
        <f t="shared" si="0"/>
        <v>Home &amp; Kitchen</v>
      </c>
      <c r="C20" t="s">
        <v>26</v>
      </c>
      <c r="D20">
        <f t="shared" si="1"/>
        <v>2999</v>
      </c>
      <c r="E20" t="s">
        <v>66</v>
      </c>
      <c r="F20">
        <f t="shared" si="2"/>
        <v>3699</v>
      </c>
      <c r="G20">
        <f t="shared" si="3"/>
        <v>700</v>
      </c>
      <c r="H20" s="1">
        <v>0.19</v>
      </c>
      <c r="I20" t="str">
        <f t="shared" si="4"/>
        <v>Low</v>
      </c>
      <c r="J20">
        <v>-5</v>
      </c>
      <c r="K20" s="15">
        <f t="shared" si="5"/>
        <v>5</v>
      </c>
      <c r="L20" t="s">
        <v>16</v>
      </c>
      <c r="M20">
        <f t="shared" si="6"/>
        <v>4.5999999999999996</v>
      </c>
      <c r="N20" t="str">
        <f t="shared" si="7"/>
        <v>Excellent</v>
      </c>
      <c r="O20" s="6"/>
      <c r="P20" s="7"/>
      <c r="Q20" s="8"/>
    </row>
    <row r="21" spans="1:17" x14ac:dyDescent="0.25">
      <c r="A21" t="s">
        <v>67</v>
      </c>
      <c r="B21" t="str">
        <f t="shared" si="0"/>
        <v>Other</v>
      </c>
      <c r="C21" t="s">
        <v>68</v>
      </c>
      <c r="D21">
        <f t="shared" si="1"/>
        <v>998</v>
      </c>
      <c r="E21" t="s">
        <v>69</v>
      </c>
      <c r="F21">
        <f t="shared" si="2"/>
        <v>1966</v>
      </c>
      <c r="G21">
        <f t="shared" si="3"/>
        <v>968</v>
      </c>
      <c r="H21" s="1">
        <v>0.49</v>
      </c>
      <c r="I21" t="str">
        <f t="shared" si="4"/>
        <v>High</v>
      </c>
      <c r="J21">
        <v>-44</v>
      </c>
      <c r="K21" s="15">
        <f t="shared" si="5"/>
        <v>44</v>
      </c>
      <c r="L21" t="s">
        <v>16</v>
      </c>
      <c r="M21">
        <f t="shared" si="6"/>
        <v>4.5999999999999996</v>
      </c>
      <c r="N21" t="str">
        <f t="shared" si="7"/>
        <v>Excellent</v>
      </c>
      <c r="O21" s="6"/>
      <c r="P21" s="7"/>
      <c r="Q21" s="8"/>
    </row>
    <row r="22" spans="1:17" x14ac:dyDescent="0.25">
      <c r="A22" t="s">
        <v>70</v>
      </c>
      <c r="B22" t="str">
        <f t="shared" si="0"/>
        <v>Craft &amp; DIY</v>
      </c>
      <c r="C22" t="s">
        <v>71</v>
      </c>
      <c r="D22">
        <f t="shared" si="1"/>
        <v>38</v>
      </c>
      <c r="E22" t="s">
        <v>72</v>
      </c>
      <c r="F22">
        <f t="shared" si="2"/>
        <v>80</v>
      </c>
      <c r="G22">
        <f t="shared" si="3"/>
        <v>42</v>
      </c>
      <c r="H22" s="1">
        <v>0.53</v>
      </c>
      <c r="I22" t="str">
        <f t="shared" si="4"/>
        <v>High</v>
      </c>
      <c r="J22">
        <v>-13</v>
      </c>
      <c r="K22" s="15">
        <f t="shared" si="5"/>
        <v>13</v>
      </c>
      <c r="L22" t="s">
        <v>73</v>
      </c>
      <c r="M22">
        <f t="shared" si="6"/>
        <v>3.3</v>
      </c>
      <c r="N22" t="str">
        <f t="shared" si="7"/>
        <v>Average</v>
      </c>
      <c r="O22" s="6"/>
      <c r="P22" s="7"/>
      <c r="Q22" s="8"/>
    </row>
    <row r="23" spans="1:17" x14ac:dyDescent="0.25">
      <c r="A23" t="s">
        <v>74</v>
      </c>
      <c r="B23" t="str">
        <f t="shared" si="0"/>
        <v>Home &amp; Kitchen</v>
      </c>
      <c r="C23" t="s">
        <v>75</v>
      </c>
      <c r="D23">
        <f t="shared" si="1"/>
        <v>1860</v>
      </c>
      <c r="E23" t="s">
        <v>76</v>
      </c>
      <c r="F23">
        <f t="shared" si="2"/>
        <v>3220</v>
      </c>
      <c r="G23">
        <f t="shared" si="3"/>
        <v>1360</v>
      </c>
      <c r="H23" s="1">
        <v>0.42</v>
      </c>
      <c r="I23" t="str">
        <f t="shared" si="4"/>
        <v>High</v>
      </c>
      <c r="K23" s="15" t="str">
        <f t="shared" si="5"/>
        <v/>
      </c>
      <c r="M23" t="str">
        <f t="shared" si="6"/>
        <v/>
      </c>
      <c r="N23" t="str">
        <f t="shared" si="7"/>
        <v/>
      </c>
      <c r="O23" s="6"/>
      <c r="P23" s="7"/>
      <c r="Q23" s="8"/>
    </row>
    <row r="24" spans="1:17" x14ac:dyDescent="0.25">
      <c r="A24" t="s">
        <v>77</v>
      </c>
      <c r="B24" t="str">
        <f t="shared" si="0"/>
        <v>Other</v>
      </c>
      <c r="C24" t="s">
        <v>78</v>
      </c>
      <c r="D24">
        <f t="shared" si="1"/>
        <v>880</v>
      </c>
      <c r="E24" t="s">
        <v>79</v>
      </c>
      <c r="F24">
        <f t="shared" si="2"/>
        <v>1350</v>
      </c>
      <c r="G24">
        <f t="shared" si="3"/>
        <v>470</v>
      </c>
      <c r="H24" s="1">
        <v>0.35</v>
      </c>
      <c r="I24" t="str">
        <f t="shared" si="4"/>
        <v xml:space="preserve">Medium </v>
      </c>
      <c r="J24">
        <v>-6</v>
      </c>
      <c r="K24" s="15">
        <f t="shared" si="5"/>
        <v>6</v>
      </c>
      <c r="L24" t="s">
        <v>28</v>
      </c>
      <c r="M24">
        <f t="shared" si="6"/>
        <v>4</v>
      </c>
      <c r="N24" t="str">
        <f t="shared" si="7"/>
        <v>Average</v>
      </c>
      <c r="O24" s="6"/>
      <c r="P24" s="7"/>
      <c r="Q24" s="8"/>
    </row>
    <row r="25" spans="1:17" x14ac:dyDescent="0.25">
      <c r="A25" t="s">
        <v>80</v>
      </c>
      <c r="B25" t="str">
        <f t="shared" si="0"/>
        <v>Home &amp; Kitchen</v>
      </c>
      <c r="C25" t="s">
        <v>81</v>
      </c>
      <c r="D25">
        <f t="shared" si="1"/>
        <v>1650</v>
      </c>
      <c r="E25" t="s">
        <v>82</v>
      </c>
      <c r="F25">
        <f t="shared" si="2"/>
        <v>2150</v>
      </c>
      <c r="G25">
        <f t="shared" si="3"/>
        <v>500</v>
      </c>
      <c r="H25" s="1">
        <v>0.23</v>
      </c>
      <c r="I25" t="str">
        <f t="shared" si="4"/>
        <v xml:space="preserve">Medium </v>
      </c>
      <c r="J25">
        <v>-14</v>
      </c>
      <c r="K25" s="15">
        <f t="shared" si="5"/>
        <v>14</v>
      </c>
      <c r="L25" t="s">
        <v>83</v>
      </c>
      <c r="M25">
        <f t="shared" si="6"/>
        <v>4.4000000000000004</v>
      </c>
      <c r="N25" t="str">
        <f t="shared" si="7"/>
        <v>Average</v>
      </c>
      <c r="O25" s="6"/>
      <c r="P25" s="7"/>
      <c r="Q25" s="8"/>
    </row>
    <row r="26" spans="1:17" x14ac:dyDescent="0.25">
      <c r="A26" t="s">
        <v>84</v>
      </c>
      <c r="B26" t="str">
        <f t="shared" si="0"/>
        <v>Other</v>
      </c>
      <c r="C26" t="s">
        <v>85</v>
      </c>
      <c r="D26">
        <f t="shared" si="1"/>
        <v>2048</v>
      </c>
      <c r="E26" t="s">
        <v>86</v>
      </c>
      <c r="F26">
        <f t="shared" si="2"/>
        <v>4500</v>
      </c>
      <c r="G26">
        <f t="shared" si="3"/>
        <v>2452</v>
      </c>
      <c r="H26" s="1">
        <v>0.54</v>
      </c>
      <c r="I26" t="str">
        <f t="shared" si="4"/>
        <v>High</v>
      </c>
      <c r="J26">
        <v>-7</v>
      </c>
      <c r="K26" s="15">
        <f t="shared" si="5"/>
        <v>7</v>
      </c>
      <c r="L26" t="s">
        <v>87</v>
      </c>
      <c r="M26">
        <f t="shared" si="6"/>
        <v>4.3</v>
      </c>
      <c r="N26" t="str">
        <f t="shared" si="7"/>
        <v>Average</v>
      </c>
      <c r="O26" s="6"/>
      <c r="P26" s="7"/>
      <c r="Q26" s="8"/>
    </row>
    <row r="27" spans="1:17" x14ac:dyDescent="0.25">
      <c r="A27" t="s">
        <v>88</v>
      </c>
      <c r="B27" t="str">
        <f t="shared" si="0"/>
        <v>Other</v>
      </c>
      <c r="C27" t="s">
        <v>89</v>
      </c>
      <c r="D27">
        <f t="shared" si="1"/>
        <v>420</v>
      </c>
      <c r="E27" t="s">
        <v>90</v>
      </c>
      <c r="F27">
        <f t="shared" si="2"/>
        <v>647</v>
      </c>
      <c r="G27">
        <f t="shared" si="3"/>
        <v>227</v>
      </c>
      <c r="H27" s="1">
        <v>0.35</v>
      </c>
      <c r="I27" t="str">
        <f t="shared" si="4"/>
        <v xml:space="preserve">Medium </v>
      </c>
      <c r="J27">
        <v>-49</v>
      </c>
      <c r="K27" s="15">
        <f t="shared" si="5"/>
        <v>49</v>
      </c>
      <c r="L27" t="s">
        <v>16</v>
      </c>
      <c r="M27">
        <f t="shared" si="6"/>
        <v>4.5999999999999996</v>
      </c>
      <c r="N27" t="str">
        <f t="shared" si="7"/>
        <v>Excellent</v>
      </c>
      <c r="O27" s="6"/>
      <c r="P27" s="7"/>
      <c r="Q27" s="8"/>
    </row>
    <row r="28" spans="1:17" x14ac:dyDescent="0.25">
      <c r="A28" t="s">
        <v>91</v>
      </c>
      <c r="B28" t="str">
        <f t="shared" si="0"/>
        <v>Home &amp; Kitchen</v>
      </c>
      <c r="C28" t="s">
        <v>92</v>
      </c>
      <c r="D28">
        <f t="shared" si="1"/>
        <v>2880</v>
      </c>
      <c r="E28" t="s">
        <v>93</v>
      </c>
      <c r="F28">
        <f t="shared" si="2"/>
        <v>3520</v>
      </c>
      <c r="G28">
        <f t="shared" si="3"/>
        <v>640</v>
      </c>
      <c r="H28" s="1">
        <v>0.18</v>
      </c>
      <c r="I28" t="str">
        <f t="shared" si="4"/>
        <v>Low</v>
      </c>
      <c r="J28">
        <v>-12</v>
      </c>
      <c r="K28" s="15">
        <f t="shared" si="5"/>
        <v>12</v>
      </c>
      <c r="L28" t="s">
        <v>40</v>
      </c>
      <c r="M28">
        <f t="shared" si="6"/>
        <v>3.8</v>
      </c>
      <c r="N28" t="str">
        <f t="shared" si="7"/>
        <v>Average</v>
      </c>
      <c r="O28" s="9"/>
      <c r="P28" s="10"/>
      <c r="Q28" s="11"/>
    </row>
    <row r="29" spans="1:17" x14ac:dyDescent="0.25">
      <c r="A29" t="s">
        <v>94</v>
      </c>
      <c r="B29" t="str">
        <f t="shared" si="0"/>
        <v>Other</v>
      </c>
      <c r="C29" t="s">
        <v>79</v>
      </c>
      <c r="D29">
        <f t="shared" si="1"/>
        <v>1350</v>
      </c>
      <c r="E29" t="s">
        <v>95</v>
      </c>
      <c r="F29">
        <f t="shared" si="2"/>
        <v>1990</v>
      </c>
      <c r="G29">
        <f t="shared" si="3"/>
        <v>640</v>
      </c>
      <c r="H29" s="1">
        <v>0.32</v>
      </c>
      <c r="I29" t="str">
        <f t="shared" si="4"/>
        <v xml:space="preserve">Medium </v>
      </c>
      <c r="J29">
        <v>-13</v>
      </c>
      <c r="K29" s="15">
        <f t="shared" si="5"/>
        <v>13</v>
      </c>
      <c r="L29" t="s">
        <v>40</v>
      </c>
      <c r="M29">
        <f t="shared" si="6"/>
        <v>3.8</v>
      </c>
      <c r="N29" t="str">
        <f t="shared" si="7"/>
        <v>Average</v>
      </c>
    </row>
    <row r="30" spans="1:17" x14ac:dyDescent="0.25">
      <c r="A30" t="s">
        <v>96</v>
      </c>
      <c r="B30" t="str">
        <f t="shared" si="0"/>
        <v>Home Decor</v>
      </c>
      <c r="C30" t="s">
        <v>97</v>
      </c>
      <c r="D30">
        <f t="shared" si="1"/>
        <v>1758</v>
      </c>
      <c r="E30" t="s">
        <v>19</v>
      </c>
      <c r="F30">
        <f t="shared" si="2"/>
        <v>2499</v>
      </c>
      <c r="G30">
        <f t="shared" si="3"/>
        <v>741</v>
      </c>
      <c r="H30" s="1">
        <v>0.3</v>
      </c>
      <c r="I30" t="str">
        <f t="shared" si="4"/>
        <v xml:space="preserve">Medium </v>
      </c>
      <c r="J30">
        <v>-20</v>
      </c>
      <c r="K30" s="15">
        <f t="shared" si="5"/>
        <v>20</v>
      </c>
      <c r="L30" t="s">
        <v>12</v>
      </c>
      <c r="M30">
        <f t="shared" si="6"/>
        <v>4.0999999999999996</v>
      </c>
      <c r="N30" t="str">
        <f t="shared" si="7"/>
        <v>Average</v>
      </c>
    </row>
    <row r="31" spans="1:17" x14ac:dyDescent="0.25">
      <c r="A31" t="s">
        <v>98</v>
      </c>
      <c r="B31" t="str">
        <f t="shared" si="0"/>
        <v>Home &amp; Kitchen</v>
      </c>
      <c r="C31" t="s">
        <v>99</v>
      </c>
      <c r="D31">
        <f t="shared" si="1"/>
        <v>2200</v>
      </c>
      <c r="E31" t="s">
        <v>100</v>
      </c>
      <c r="F31">
        <f t="shared" si="2"/>
        <v>4080</v>
      </c>
      <c r="G31">
        <f t="shared" si="3"/>
        <v>1880</v>
      </c>
      <c r="H31" s="1">
        <v>0.46</v>
      </c>
      <c r="I31" t="str">
        <f t="shared" si="4"/>
        <v>High</v>
      </c>
      <c r="K31" s="15" t="str">
        <f t="shared" si="5"/>
        <v/>
      </c>
      <c r="M31" t="str">
        <f t="shared" si="6"/>
        <v/>
      </c>
      <c r="N31" t="str">
        <f t="shared" si="7"/>
        <v/>
      </c>
    </row>
    <row r="32" spans="1:17" x14ac:dyDescent="0.25">
      <c r="A32" t="s">
        <v>101</v>
      </c>
      <c r="B32" t="str">
        <f t="shared" si="0"/>
        <v>Other</v>
      </c>
      <c r="C32" t="s">
        <v>102</v>
      </c>
      <c r="D32">
        <f t="shared" si="1"/>
        <v>185</v>
      </c>
      <c r="E32" t="s">
        <v>103</v>
      </c>
      <c r="F32">
        <f t="shared" si="2"/>
        <v>382</v>
      </c>
      <c r="G32">
        <f t="shared" si="3"/>
        <v>197</v>
      </c>
      <c r="H32" s="1">
        <v>0.52</v>
      </c>
      <c r="I32" t="str">
        <f t="shared" si="4"/>
        <v>High</v>
      </c>
      <c r="J32">
        <v>-9</v>
      </c>
      <c r="K32" s="15">
        <f t="shared" si="5"/>
        <v>9</v>
      </c>
      <c r="L32" t="s">
        <v>87</v>
      </c>
      <c r="M32">
        <f t="shared" si="6"/>
        <v>4.3</v>
      </c>
      <c r="N32" t="str">
        <f t="shared" si="7"/>
        <v>Average</v>
      </c>
    </row>
    <row r="33" spans="1:14" x14ac:dyDescent="0.25">
      <c r="A33" t="s">
        <v>104</v>
      </c>
      <c r="B33" t="str">
        <f t="shared" si="0"/>
        <v>Other</v>
      </c>
      <c r="C33" t="s">
        <v>105</v>
      </c>
      <c r="D33">
        <f t="shared" si="1"/>
        <v>980</v>
      </c>
      <c r="E33" t="s">
        <v>106</v>
      </c>
      <c r="F33">
        <f t="shared" si="2"/>
        <v>1490</v>
      </c>
      <c r="G33">
        <f t="shared" si="3"/>
        <v>510</v>
      </c>
      <c r="H33" s="1">
        <v>0.34</v>
      </c>
      <c r="I33" t="str">
        <f t="shared" si="4"/>
        <v xml:space="preserve">Medium </v>
      </c>
      <c r="J33">
        <v>-12</v>
      </c>
      <c r="K33" s="15">
        <f t="shared" si="5"/>
        <v>12</v>
      </c>
      <c r="L33" t="s">
        <v>20</v>
      </c>
      <c r="M33">
        <f t="shared" si="6"/>
        <v>4.7</v>
      </c>
      <c r="N33" t="str">
        <f t="shared" si="7"/>
        <v>Excellent</v>
      </c>
    </row>
    <row r="34" spans="1:14" x14ac:dyDescent="0.25">
      <c r="A34" t="s">
        <v>107</v>
      </c>
      <c r="B34" t="str">
        <f t="shared" si="0"/>
        <v>Cleaning &amp; Appliances</v>
      </c>
      <c r="C34" t="s">
        <v>108</v>
      </c>
      <c r="D34">
        <f t="shared" si="1"/>
        <v>1820</v>
      </c>
      <c r="E34" t="s">
        <v>109</v>
      </c>
      <c r="F34">
        <f t="shared" si="2"/>
        <v>3490</v>
      </c>
      <c r="G34">
        <f t="shared" si="3"/>
        <v>1670</v>
      </c>
      <c r="H34" s="1">
        <v>0.48</v>
      </c>
      <c r="I34" t="str">
        <f t="shared" si="4"/>
        <v>High</v>
      </c>
      <c r="J34">
        <v>-9</v>
      </c>
      <c r="K34" s="15">
        <f t="shared" si="5"/>
        <v>9</v>
      </c>
      <c r="L34" t="s">
        <v>87</v>
      </c>
      <c r="M34">
        <f t="shared" si="6"/>
        <v>4.3</v>
      </c>
      <c r="N34" t="str">
        <f t="shared" si="7"/>
        <v>Average</v>
      </c>
    </row>
    <row r="35" spans="1:14" x14ac:dyDescent="0.25">
      <c r="A35" t="s">
        <v>110</v>
      </c>
      <c r="B35" t="str">
        <f t="shared" si="0"/>
        <v>Home &amp; Kitchen</v>
      </c>
      <c r="C35" t="s">
        <v>111</v>
      </c>
      <c r="D35">
        <f t="shared" si="1"/>
        <v>1940</v>
      </c>
      <c r="E35" t="s">
        <v>112</v>
      </c>
      <c r="F35">
        <f t="shared" si="2"/>
        <v>2650</v>
      </c>
      <c r="G35">
        <f t="shared" si="3"/>
        <v>710</v>
      </c>
      <c r="H35" s="1">
        <v>0.27</v>
      </c>
      <c r="I35" t="str">
        <f t="shared" si="4"/>
        <v xml:space="preserve">Medium </v>
      </c>
      <c r="J35">
        <v>-20</v>
      </c>
      <c r="K35" s="15">
        <f t="shared" si="5"/>
        <v>20</v>
      </c>
      <c r="L35" t="s">
        <v>20</v>
      </c>
      <c r="M35">
        <f t="shared" si="6"/>
        <v>4.7</v>
      </c>
      <c r="N35" t="str">
        <f t="shared" si="7"/>
        <v>Excellent</v>
      </c>
    </row>
    <row r="36" spans="1:14" x14ac:dyDescent="0.25">
      <c r="A36" t="s">
        <v>113</v>
      </c>
      <c r="B36" t="str">
        <f t="shared" si="0"/>
        <v>Home &amp; Kitchen</v>
      </c>
      <c r="C36" t="s">
        <v>114</v>
      </c>
      <c r="D36">
        <f t="shared" si="1"/>
        <v>1980</v>
      </c>
      <c r="E36" t="s">
        <v>115</v>
      </c>
      <c r="F36">
        <f t="shared" si="2"/>
        <v>2699</v>
      </c>
      <c r="G36">
        <f t="shared" si="3"/>
        <v>719</v>
      </c>
      <c r="H36" s="1">
        <v>0.27</v>
      </c>
      <c r="I36" t="str">
        <f t="shared" si="4"/>
        <v xml:space="preserve">Medium </v>
      </c>
      <c r="J36">
        <v>-32</v>
      </c>
      <c r="K36" s="15">
        <f t="shared" si="5"/>
        <v>32</v>
      </c>
      <c r="L36" t="s">
        <v>8</v>
      </c>
      <c r="M36">
        <f t="shared" si="6"/>
        <v>4.5</v>
      </c>
      <c r="N36" t="str">
        <f t="shared" si="7"/>
        <v>Excellent</v>
      </c>
    </row>
    <row r="37" spans="1:14" x14ac:dyDescent="0.25">
      <c r="A37" t="s">
        <v>116</v>
      </c>
      <c r="B37" t="str">
        <f t="shared" si="0"/>
        <v>Home &amp; Kitchen</v>
      </c>
      <c r="C37" t="s">
        <v>117</v>
      </c>
      <c r="D37">
        <f t="shared" si="1"/>
        <v>1620</v>
      </c>
      <c r="E37" t="s">
        <v>118</v>
      </c>
      <c r="F37">
        <f t="shared" si="2"/>
        <v>2690</v>
      </c>
      <c r="G37">
        <f t="shared" si="3"/>
        <v>1070</v>
      </c>
      <c r="H37" s="1">
        <v>0.4</v>
      </c>
      <c r="I37" t="str">
        <f t="shared" si="4"/>
        <v xml:space="preserve">Medium </v>
      </c>
      <c r="J37">
        <v>-1</v>
      </c>
      <c r="K37" s="15">
        <f t="shared" si="5"/>
        <v>1</v>
      </c>
      <c r="L37" t="s">
        <v>58</v>
      </c>
      <c r="M37">
        <f t="shared" si="6"/>
        <v>5</v>
      </c>
      <c r="N37" t="str">
        <f t="shared" si="7"/>
        <v>Excellent</v>
      </c>
    </row>
    <row r="38" spans="1:14" x14ac:dyDescent="0.25">
      <c r="A38" t="s">
        <v>119</v>
      </c>
      <c r="B38" t="str">
        <f t="shared" si="0"/>
        <v>Home Decor</v>
      </c>
      <c r="C38" t="s">
        <v>120</v>
      </c>
      <c r="D38">
        <f t="shared" si="1"/>
        <v>171</v>
      </c>
      <c r="E38" t="s">
        <v>61</v>
      </c>
      <c r="F38">
        <f t="shared" si="2"/>
        <v>360</v>
      </c>
      <c r="G38">
        <f t="shared" si="3"/>
        <v>189</v>
      </c>
      <c r="H38" s="1">
        <v>0.53</v>
      </c>
      <c r="I38" t="str">
        <f t="shared" si="4"/>
        <v>High</v>
      </c>
      <c r="J38">
        <v>-2</v>
      </c>
      <c r="K38" s="15">
        <f t="shared" si="5"/>
        <v>2</v>
      </c>
      <c r="L38" t="s">
        <v>58</v>
      </c>
      <c r="M38">
        <f t="shared" si="6"/>
        <v>5</v>
      </c>
      <c r="N38" t="str">
        <f t="shared" si="7"/>
        <v>Excellent</v>
      </c>
    </row>
    <row r="39" spans="1:14" x14ac:dyDescent="0.25">
      <c r="A39" t="s">
        <v>121</v>
      </c>
      <c r="B39" t="str">
        <f t="shared" si="0"/>
        <v>Home &amp; Kitchen</v>
      </c>
      <c r="C39" t="s">
        <v>122</v>
      </c>
      <c r="D39">
        <f t="shared" si="1"/>
        <v>389</v>
      </c>
      <c r="E39" t="s">
        <v>123</v>
      </c>
      <c r="F39">
        <f t="shared" si="2"/>
        <v>656</v>
      </c>
      <c r="G39">
        <f t="shared" si="3"/>
        <v>267</v>
      </c>
      <c r="H39" s="1">
        <v>0.41</v>
      </c>
      <c r="I39" t="str">
        <f t="shared" si="4"/>
        <v>High</v>
      </c>
      <c r="J39">
        <v>-36</v>
      </c>
      <c r="K39" s="15">
        <f t="shared" si="5"/>
        <v>36</v>
      </c>
      <c r="L39" t="s">
        <v>87</v>
      </c>
      <c r="M39">
        <f t="shared" si="6"/>
        <v>4.3</v>
      </c>
      <c r="N39" t="str">
        <f t="shared" si="7"/>
        <v>Average</v>
      </c>
    </row>
    <row r="40" spans="1:14" x14ac:dyDescent="0.25">
      <c r="A40" t="s">
        <v>124</v>
      </c>
      <c r="B40" t="str">
        <f t="shared" si="0"/>
        <v>Home Decor</v>
      </c>
      <c r="C40" t="s">
        <v>322</v>
      </c>
      <c r="D40">
        <f t="shared" si="1"/>
        <v>1800</v>
      </c>
      <c r="E40" t="s">
        <v>323</v>
      </c>
      <c r="F40">
        <f t="shared" si="2"/>
        <v>2700</v>
      </c>
      <c r="G40">
        <f t="shared" si="3"/>
        <v>900</v>
      </c>
      <c r="H40" s="1">
        <v>0.38</v>
      </c>
      <c r="I40" t="str">
        <f t="shared" si="4"/>
        <v xml:space="preserve">Medium </v>
      </c>
      <c r="J40">
        <v>-2</v>
      </c>
      <c r="K40" s="15">
        <f t="shared" si="5"/>
        <v>2</v>
      </c>
      <c r="L40" t="s">
        <v>8</v>
      </c>
      <c r="M40">
        <f t="shared" si="6"/>
        <v>4.5</v>
      </c>
      <c r="N40" t="str">
        <f t="shared" si="7"/>
        <v>Excellent</v>
      </c>
    </row>
    <row r="41" spans="1:14" x14ac:dyDescent="0.25">
      <c r="A41" t="s">
        <v>125</v>
      </c>
      <c r="B41" t="str">
        <f t="shared" si="0"/>
        <v>Other</v>
      </c>
      <c r="C41" t="s">
        <v>126</v>
      </c>
      <c r="D41">
        <f t="shared" si="1"/>
        <v>2750</v>
      </c>
      <c r="E41" t="s">
        <v>127</v>
      </c>
      <c r="F41">
        <f t="shared" si="2"/>
        <v>4471</v>
      </c>
      <c r="G41">
        <f t="shared" si="3"/>
        <v>1721</v>
      </c>
      <c r="H41" s="1">
        <v>0.38</v>
      </c>
      <c r="I41" t="str">
        <f t="shared" si="4"/>
        <v xml:space="preserve">Medium </v>
      </c>
      <c r="K41" s="15" t="str">
        <f t="shared" si="5"/>
        <v/>
      </c>
      <c r="M41" t="str">
        <f t="shared" si="6"/>
        <v/>
      </c>
      <c r="N41" t="str">
        <f t="shared" si="7"/>
        <v/>
      </c>
    </row>
    <row r="42" spans="1:14" x14ac:dyDescent="0.25">
      <c r="A42" t="s">
        <v>128</v>
      </c>
      <c r="B42" t="str">
        <f t="shared" si="0"/>
        <v>Other</v>
      </c>
      <c r="C42" t="s">
        <v>129</v>
      </c>
      <c r="D42">
        <f t="shared" si="1"/>
        <v>475</v>
      </c>
      <c r="E42" t="s">
        <v>130</v>
      </c>
      <c r="F42">
        <f t="shared" si="2"/>
        <v>931</v>
      </c>
      <c r="G42">
        <f t="shared" si="3"/>
        <v>456</v>
      </c>
      <c r="H42" s="1">
        <v>0.49</v>
      </c>
      <c r="I42" t="str">
        <f t="shared" si="4"/>
        <v>High</v>
      </c>
      <c r="K42" s="15" t="str">
        <f t="shared" si="5"/>
        <v/>
      </c>
      <c r="M42" t="str">
        <f t="shared" si="6"/>
        <v/>
      </c>
      <c r="N42" t="str">
        <f t="shared" si="7"/>
        <v/>
      </c>
    </row>
    <row r="43" spans="1:14" x14ac:dyDescent="0.25">
      <c r="A43" t="s">
        <v>131</v>
      </c>
      <c r="B43" t="str">
        <f t="shared" si="0"/>
        <v>Home Decor</v>
      </c>
      <c r="C43" t="s">
        <v>132</v>
      </c>
      <c r="D43">
        <f t="shared" si="1"/>
        <v>238</v>
      </c>
      <c r="E43" t="s">
        <v>133</v>
      </c>
      <c r="F43">
        <f t="shared" si="2"/>
        <v>476</v>
      </c>
      <c r="G43">
        <f t="shared" si="3"/>
        <v>238</v>
      </c>
      <c r="H43" s="1">
        <v>0.5</v>
      </c>
      <c r="I43" t="str">
        <f t="shared" si="4"/>
        <v>High</v>
      </c>
      <c r="K43" s="15" t="str">
        <f t="shared" si="5"/>
        <v/>
      </c>
      <c r="M43" t="str">
        <f t="shared" si="6"/>
        <v/>
      </c>
      <c r="N43" t="str">
        <f t="shared" si="7"/>
        <v/>
      </c>
    </row>
    <row r="44" spans="1:14" x14ac:dyDescent="0.25">
      <c r="A44" t="s">
        <v>134</v>
      </c>
      <c r="B44" t="str">
        <f t="shared" si="0"/>
        <v>Other</v>
      </c>
      <c r="C44" t="s">
        <v>135</v>
      </c>
      <c r="D44">
        <f t="shared" si="1"/>
        <v>610</v>
      </c>
      <c r="E44" t="s">
        <v>136</v>
      </c>
      <c r="F44">
        <f t="shared" si="2"/>
        <v>1060</v>
      </c>
      <c r="G44">
        <f t="shared" si="3"/>
        <v>450</v>
      </c>
      <c r="H44" s="1">
        <v>0.42</v>
      </c>
      <c r="I44" t="str">
        <f t="shared" si="4"/>
        <v>High</v>
      </c>
      <c r="K44" s="15" t="str">
        <f t="shared" si="5"/>
        <v/>
      </c>
      <c r="M44" t="str">
        <f t="shared" si="6"/>
        <v/>
      </c>
      <c r="N44" t="str">
        <f t="shared" si="7"/>
        <v/>
      </c>
    </row>
    <row r="45" spans="1:14" x14ac:dyDescent="0.25">
      <c r="A45" t="s">
        <v>137</v>
      </c>
      <c r="B45" t="str">
        <f t="shared" si="0"/>
        <v>Other</v>
      </c>
      <c r="C45" t="s">
        <v>138</v>
      </c>
      <c r="D45">
        <f t="shared" si="1"/>
        <v>2132</v>
      </c>
      <c r="E45" t="s">
        <v>139</v>
      </c>
      <c r="F45">
        <f t="shared" si="2"/>
        <v>2169</v>
      </c>
      <c r="G45">
        <f t="shared" si="3"/>
        <v>37</v>
      </c>
      <c r="H45" s="1">
        <v>0.02</v>
      </c>
      <c r="I45" t="str">
        <f t="shared" si="4"/>
        <v>Low</v>
      </c>
      <c r="K45" s="15" t="str">
        <f t="shared" si="5"/>
        <v/>
      </c>
      <c r="M45" t="str">
        <f t="shared" si="6"/>
        <v/>
      </c>
      <c r="N45" t="str">
        <f t="shared" si="7"/>
        <v/>
      </c>
    </row>
    <row r="46" spans="1:14" x14ac:dyDescent="0.25">
      <c r="A46" t="s">
        <v>140</v>
      </c>
      <c r="B46" t="str">
        <f t="shared" si="0"/>
        <v>Home Decor</v>
      </c>
      <c r="C46" t="s">
        <v>11</v>
      </c>
      <c r="D46">
        <f t="shared" si="1"/>
        <v>999</v>
      </c>
      <c r="E46" t="s">
        <v>141</v>
      </c>
      <c r="F46">
        <f t="shared" si="2"/>
        <v>2000</v>
      </c>
      <c r="G46">
        <f t="shared" si="3"/>
        <v>1001</v>
      </c>
      <c r="H46" s="1">
        <v>0.5</v>
      </c>
      <c r="I46" t="str">
        <f t="shared" si="4"/>
        <v>High</v>
      </c>
      <c r="K46" s="15" t="str">
        <f t="shared" si="5"/>
        <v/>
      </c>
      <c r="M46" t="str">
        <f t="shared" si="6"/>
        <v/>
      </c>
      <c r="N46" t="str">
        <f t="shared" si="7"/>
        <v/>
      </c>
    </row>
    <row r="47" spans="1:14" x14ac:dyDescent="0.25">
      <c r="A47" t="s">
        <v>142</v>
      </c>
      <c r="B47" t="str">
        <f t="shared" si="0"/>
        <v>Home &amp; Kitchen</v>
      </c>
      <c r="C47" t="s">
        <v>143</v>
      </c>
      <c r="D47">
        <f t="shared" si="1"/>
        <v>1190</v>
      </c>
      <c r="E47" t="s">
        <v>144</v>
      </c>
      <c r="F47">
        <f t="shared" si="2"/>
        <v>1785</v>
      </c>
      <c r="G47">
        <f t="shared" si="3"/>
        <v>595</v>
      </c>
      <c r="H47" s="1">
        <v>0.33</v>
      </c>
      <c r="I47" t="str">
        <f t="shared" si="4"/>
        <v xml:space="preserve">Medium </v>
      </c>
      <c r="K47" s="15" t="str">
        <f t="shared" si="5"/>
        <v/>
      </c>
      <c r="M47" t="str">
        <f t="shared" si="6"/>
        <v/>
      </c>
      <c r="N47" t="str">
        <f t="shared" si="7"/>
        <v/>
      </c>
    </row>
    <row r="48" spans="1:14" x14ac:dyDescent="0.25">
      <c r="A48" t="s">
        <v>145</v>
      </c>
      <c r="B48" t="str">
        <f t="shared" si="0"/>
        <v>Other</v>
      </c>
      <c r="C48" t="s">
        <v>146</v>
      </c>
      <c r="D48">
        <f t="shared" si="1"/>
        <v>671</v>
      </c>
      <c r="E48" t="s">
        <v>147</v>
      </c>
      <c r="F48">
        <f t="shared" si="2"/>
        <v>1316</v>
      </c>
      <c r="G48">
        <f t="shared" si="3"/>
        <v>645</v>
      </c>
      <c r="H48" s="1">
        <v>0.49</v>
      </c>
      <c r="I48" t="str">
        <f t="shared" si="4"/>
        <v>High</v>
      </c>
      <c r="K48" s="15" t="str">
        <f t="shared" si="5"/>
        <v/>
      </c>
      <c r="M48" t="str">
        <f t="shared" si="6"/>
        <v/>
      </c>
      <c r="N48" t="str">
        <f t="shared" si="7"/>
        <v/>
      </c>
    </row>
    <row r="49" spans="1:14" x14ac:dyDescent="0.25">
      <c r="A49" t="s">
        <v>148</v>
      </c>
      <c r="B49" t="str">
        <f t="shared" si="0"/>
        <v>Other</v>
      </c>
      <c r="C49" t="s">
        <v>149</v>
      </c>
      <c r="D49">
        <f t="shared" si="1"/>
        <v>1200</v>
      </c>
      <c r="E49" t="s">
        <v>150</v>
      </c>
      <c r="F49">
        <f t="shared" si="2"/>
        <v>1950</v>
      </c>
      <c r="G49">
        <f t="shared" si="3"/>
        <v>750</v>
      </c>
      <c r="H49" s="1">
        <v>0.38</v>
      </c>
      <c r="I49" t="str">
        <f t="shared" si="4"/>
        <v xml:space="preserve">Medium </v>
      </c>
      <c r="K49" s="15" t="str">
        <f t="shared" si="5"/>
        <v/>
      </c>
      <c r="M49" t="str">
        <f t="shared" si="6"/>
        <v/>
      </c>
      <c r="N49" t="str">
        <f t="shared" si="7"/>
        <v/>
      </c>
    </row>
    <row r="50" spans="1:14" x14ac:dyDescent="0.25">
      <c r="A50" t="s">
        <v>151</v>
      </c>
      <c r="B50" t="str">
        <f t="shared" si="0"/>
        <v>Other</v>
      </c>
      <c r="C50" t="s">
        <v>152</v>
      </c>
      <c r="D50">
        <f t="shared" si="1"/>
        <v>199</v>
      </c>
      <c r="E50" t="s">
        <v>153</v>
      </c>
      <c r="F50">
        <f t="shared" si="2"/>
        <v>504</v>
      </c>
      <c r="G50">
        <f t="shared" si="3"/>
        <v>305</v>
      </c>
      <c r="H50" s="1">
        <v>0.61</v>
      </c>
      <c r="I50" t="str">
        <f t="shared" si="4"/>
        <v>High</v>
      </c>
      <c r="K50" s="15" t="str">
        <f t="shared" si="5"/>
        <v/>
      </c>
      <c r="M50" t="str">
        <f t="shared" si="6"/>
        <v/>
      </c>
      <c r="N50" t="str">
        <f t="shared" si="7"/>
        <v/>
      </c>
    </row>
    <row r="51" spans="1:14" x14ac:dyDescent="0.25">
      <c r="A51" t="s">
        <v>154</v>
      </c>
      <c r="B51" t="str">
        <f t="shared" si="0"/>
        <v>Other</v>
      </c>
      <c r="C51" t="s">
        <v>155</v>
      </c>
      <c r="D51">
        <f t="shared" si="1"/>
        <v>299</v>
      </c>
      <c r="E51" t="s">
        <v>156</v>
      </c>
      <c r="F51">
        <f t="shared" si="2"/>
        <v>600</v>
      </c>
      <c r="G51">
        <f t="shared" si="3"/>
        <v>301</v>
      </c>
      <c r="H51" s="1">
        <v>0.5</v>
      </c>
      <c r="I51" t="str">
        <f t="shared" si="4"/>
        <v>High</v>
      </c>
      <c r="K51" s="15" t="str">
        <f t="shared" si="5"/>
        <v/>
      </c>
      <c r="M51" t="str">
        <f t="shared" si="6"/>
        <v/>
      </c>
      <c r="N51" t="str">
        <f t="shared" si="7"/>
        <v/>
      </c>
    </row>
    <row r="52" spans="1:14" x14ac:dyDescent="0.25">
      <c r="A52" t="s">
        <v>157</v>
      </c>
      <c r="B52" t="str">
        <f t="shared" si="0"/>
        <v>Other</v>
      </c>
      <c r="C52" t="s">
        <v>158</v>
      </c>
      <c r="D52">
        <f t="shared" si="1"/>
        <v>1660</v>
      </c>
      <c r="E52" t="s">
        <v>159</v>
      </c>
      <c r="F52">
        <f t="shared" si="2"/>
        <v>1699</v>
      </c>
      <c r="G52">
        <f t="shared" si="3"/>
        <v>39</v>
      </c>
      <c r="H52" s="1">
        <v>0.02</v>
      </c>
      <c r="I52" t="str">
        <f t="shared" si="4"/>
        <v>Low</v>
      </c>
      <c r="K52" s="15" t="str">
        <f t="shared" si="5"/>
        <v/>
      </c>
      <c r="M52" t="str">
        <f t="shared" si="6"/>
        <v/>
      </c>
      <c r="N52" t="str">
        <f t="shared" si="7"/>
        <v/>
      </c>
    </row>
    <row r="53" spans="1:14" x14ac:dyDescent="0.25">
      <c r="A53" t="s">
        <v>160</v>
      </c>
      <c r="B53" t="str">
        <f t="shared" si="0"/>
        <v>Other</v>
      </c>
      <c r="C53" t="s">
        <v>155</v>
      </c>
      <c r="D53">
        <f t="shared" si="1"/>
        <v>299</v>
      </c>
      <c r="E53" t="s">
        <v>161</v>
      </c>
      <c r="F53">
        <f t="shared" si="2"/>
        <v>384</v>
      </c>
      <c r="G53">
        <f t="shared" si="3"/>
        <v>85</v>
      </c>
      <c r="H53" s="1">
        <v>0.22</v>
      </c>
      <c r="I53" t="str">
        <f t="shared" si="4"/>
        <v xml:space="preserve">Medium </v>
      </c>
      <c r="K53" s="15" t="str">
        <f t="shared" si="5"/>
        <v/>
      </c>
      <c r="M53" t="str">
        <f t="shared" si="6"/>
        <v/>
      </c>
      <c r="N53" t="str">
        <f t="shared" si="7"/>
        <v/>
      </c>
    </row>
    <row r="54" spans="1:14" x14ac:dyDescent="0.25">
      <c r="A54" t="s">
        <v>162</v>
      </c>
      <c r="B54" t="str">
        <f t="shared" si="0"/>
        <v>Home &amp; Kitchen</v>
      </c>
      <c r="C54" t="s">
        <v>163</v>
      </c>
      <c r="D54">
        <f t="shared" si="1"/>
        <v>1459</v>
      </c>
      <c r="E54" t="s">
        <v>164</v>
      </c>
      <c r="F54">
        <f t="shared" si="2"/>
        <v>1499</v>
      </c>
      <c r="G54">
        <f t="shared" si="3"/>
        <v>40</v>
      </c>
      <c r="H54" s="1">
        <v>0.03</v>
      </c>
      <c r="I54" t="str">
        <f t="shared" si="4"/>
        <v>Low</v>
      </c>
      <c r="K54" s="15" t="str">
        <f t="shared" si="5"/>
        <v/>
      </c>
      <c r="M54" t="str">
        <f t="shared" si="6"/>
        <v/>
      </c>
      <c r="N54" t="str">
        <f t="shared" si="7"/>
        <v/>
      </c>
    </row>
    <row r="55" spans="1:14" x14ac:dyDescent="0.25">
      <c r="A55" t="s">
        <v>165</v>
      </c>
      <c r="B55" t="str">
        <f t="shared" si="0"/>
        <v>Home Decor</v>
      </c>
      <c r="C55" t="s">
        <v>42</v>
      </c>
      <c r="D55">
        <f t="shared" si="1"/>
        <v>799</v>
      </c>
      <c r="E55" t="s">
        <v>166</v>
      </c>
      <c r="F55">
        <f t="shared" si="2"/>
        <v>1343</v>
      </c>
      <c r="G55">
        <f t="shared" si="3"/>
        <v>544</v>
      </c>
      <c r="H55" s="1">
        <v>0.41</v>
      </c>
      <c r="I55" t="str">
        <f t="shared" si="4"/>
        <v>High</v>
      </c>
      <c r="K55" s="15" t="str">
        <f t="shared" si="5"/>
        <v/>
      </c>
      <c r="M55" t="str">
        <f t="shared" si="6"/>
        <v/>
      </c>
      <c r="N55" t="str">
        <f t="shared" si="7"/>
        <v/>
      </c>
    </row>
    <row r="56" spans="1:14" x14ac:dyDescent="0.25">
      <c r="A56" t="s">
        <v>167</v>
      </c>
      <c r="B56" t="str">
        <f t="shared" si="0"/>
        <v>Home Decor</v>
      </c>
      <c r="C56" t="s">
        <v>168</v>
      </c>
      <c r="D56">
        <f t="shared" si="1"/>
        <v>499</v>
      </c>
      <c r="E56" t="s">
        <v>169</v>
      </c>
      <c r="F56">
        <f t="shared" si="2"/>
        <v>900</v>
      </c>
      <c r="G56">
        <f t="shared" si="3"/>
        <v>401</v>
      </c>
      <c r="H56" s="1">
        <v>0.45</v>
      </c>
      <c r="I56" t="str">
        <f t="shared" si="4"/>
        <v>High</v>
      </c>
      <c r="K56" s="15" t="str">
        <f t="shared" si="5"/>
        <v/>
      </c>
      <c r="M56" t="str">
        <f t="shared" si="6"/>
        <v/>
      </c>
      <c r="N56" t="str">
        <f t="shared" si="7"/>
        <v/>
      </c>
    </row>
    <row r="57" spans="1:14" x14ac:dyDescent="0.25">
      <c r="A57" t="s">
        <v>170</v>
      </c>
      <c r="B57" t="str">
        <f t="shared" si="0"/>
        <v>Home Decor</v>
      </c>
      <c r="C57" t="s">
        <v>171</v>
      </c>
      <c r="D57">
        <f>VALUE(SUBSTITUTE(SUBSTITUTE(C57,"KSh ",""),",",""))</f>
        <v>699</v>
      </c>
      <c r="E57" t="s">
        <v>166</v>
      </c>
      <c r="F57">
        <f t="shared" si="2"/>
        <v>1343</v>
      </c>
      <c r="G57">
        <f t="shared" si="3"/>
        <v>644</v>
      </c>
      <c r="H57" s="1">
        <v>0.48</v>
      </c>
      <c r="I57" t="str">
        <f t="shared" si="4"/>
        <v>High</v>
      </c>
      <c r="K57" s="15" t="str">
        <f t="shared" si="5"/>
        <v/>
      </c>
      <c r="M57" t="str">
        <f t="shared" si="6"/>
        <v/>
      </c>
      <c r="N57" t="str">
        <f t="shared" si="7"/>
        <v/>
      </c>
    </row>
    <row r="58" spans="1:14" x14ac:dyDescent="0.25">
      <c r="A58" t="s">
        <v>172</v>
      </c>
      <c r="B58" t="str">
        <f t="shared" si="0"/>
        <v>Other</v>
      </c>
      <c r="C58" t="s">
        <v>42</v>
      </c>
      <c r="D58">
        <f t="shared" si="1"/>
        <v>799</v>
      </c>
      <c r="E58" t="s">
        <v>173</v>
      </c>
      <c r="F58">
        <f t="shared" si="2"/>
        <v>1567</v>
      </c>
      <c r="G58">
        <f t="shared" si="3"/>
        <v>768</v>
      </c>
      <c r="H58" s="1">
        <v>0.49</v>
      </c>
      <c r="I58" t="str">
        <f t="shared" si="4"/>
        <v>High</v>
      </c>
      <c r="K58" s="15" t="str">
        <f t="shared" si="5"/>
        <v/>
      </c>
      <c r="M58" t="str">
        <f t="shared" si="6"/>
        <v/>
      </c>
      <c r="N58" t="str">
        <f t="shared" si="7"/>
        <v/>
      </c>
    </row>
    <row r="59" spans="1:14" x14ac:dyDescent="0.25">
      <c r="A59" t="s">
        <v>174</v>
      </c>
      <c r="B59" t="str">
        <f t="shared" si="0"/>
        <v>Tools &amp; Hardware</v>
      </c>
      <c r="C59" t="s">
        <v>175</v>
      </c>
      <c r="D59">
        <f t="shared" si="1"/>
        <v>2799</v>
      </c>
      <c r="E59" t="s">
        <v>176</v>
      </c>
      <c r="F59">
        <f t="shared" si="2"/>
        <v>3810</v>
      </c>
      <c r="G59">
        <f t="shared" si="3"/>
        <v>1011</v>
      </c>
      <c r="H59" s="1">
        <v>0.27</v>
      </c>
      <c r="I59" t="str">
        <f t="shared" si="4"/>
        <v xml:space="preserve">Medium </v>
      </c>
      <c r="K59" s="15" t="str">
        <f t="shared" si="5"/>
        <v/>
      </c>
      <c r="M59" t="str">
        <f t="shared" si="6"/>
        <v/>
      </c>
      <c r="N59" t="str">
        <f t="shared" si="7"/>
        <v/>
      </c>
    </row>
    <row r="60" spans="1:14" x14ac:dyDescent="0.25">
      <c r="A60" t="s">
        <v>177</v>
      </c>
      <c r="B60" t="str">
        <f t="shared" si="0"/>
        <v>Other</v>
      </c>
      <c r="C60" t="s">
        <v>178</v>
      </c>
      <c r="D60">
        <f t="shared" si="1"/>
        <v>2170</v>
      </c>
      <c r="E60" t="s">
        <v>179</v>
      </c>
      <c r="F60">
        <f t="shared" si="2"/>
        <v>2500</v>
      </c>
      <c r="G60">
        <f t="shared" si="3"/>
        <v>330</v>
      </c>
      <c r="H60" s="1">
        <v>0.13</v>
      </c>
      <c r="I60" t="str">
        <f t="shared" si="4"/>
        <v>Low</v>
      </c>
      <c r="J60">
        <v>-6</v>
      </c>
      <c r="K60" s="15">
        <f t="shared" si="5"/>
        <v>6</v>
      </c>
      <c r="L60" t="s">
        <v>180</v>
      </c>
      <c r="M60">
        <f t="shared" si="6"/>
        <v>2.5</v>
      </c>
      <c r="N60" t="str">
        <f t="shared" si="7"/>
        <v>Poor</v>
      </c>
    </row>
    <row r="61" spans="1:14" x14ac:dyDescent="0.25">
      <c r="A61" t="s">
        <v>181</v>
      </c>
      <c r="B61" t="str">
        <f t="shared" si="0"/>
        <v>Other</v>
      </c>
      <c r="C61" t="s">
        <v>182</v>
      </c>
      <c r="D61">
        <f t="shared" si="1"/>
        <v>458</v>
      </c>
      <c r="E61" t="s">
        <v>183</v>
      </c>
      <c r="F61">
        <f t="shared" si="2"/>
        <v>986</v>
      </c>
      <c r="G61">
        <f t="shared" si="3"/>
        <v>528</v>
      </c>
      <c r="H61" s="1">
        <v>0.54</v>
      </c>
      <c r="I61" t="str">
        <f t="shared" si="4"/>
        <v>High</v>
      </c>
      <c r="J61">
        <v>-10</v>
      </c>
      <c r="K61" s="15">
        <f t="shared" si="5"/>
        <v>10</v>
      </c>
      <c r="L61" t="s">
        <v>184</v>
      </c>
      <c r="M61">
        <f t="shared" si="6"/>
        <v>3</v>
      </c>
      <c r="N61" t="str">
        <f t="shared" si="7"/>
        <v>Average</v>
      </c>
    </row>
    <row r="62" spans="1:14" x14ac:dyDescent="0.25">
      <c r="A62" t="s">
        <v>185</v>
      </c>
      <c r="B62" t="str">
        <f t="shared" si="0"/>
        <v>Other</v>
      </c>
      <c r="C62" t="s">
        <v>186</v>
      </c>
      <c r="D62">
        <f t="shared" si="1"/>
        <v>2115</v>
      </c>
      <c r="E62" t="s">
        <v>187</v>
      </c>
      <c r="F62">
        <f t="shared" si="2"/>
        <v>4700</v>
      </c>
      <c r="G62">
        <f t="shared" si="3"/>
        <v>2585</v>
      </c>
      <c r="H62" s="1">
        <v>0.55000000000000004</v>
      </c>
      <c r="I62" t="str">
        <f t="shared" si="4"/>
        <v>High</v>
      </c>
      <c r="J62">
        <v>-13</v>
      </c>
      <c r="K62" s="15">
        <f t="shared" si="5"/>
        <v>13</v>
      </c>
      <c r="L62" t="s">
        <v>188</v>
      </c>
      <c r="M62">
        <f t="shared" si="6"/>
        <v>2.1</v>
      </c>
      <c r="N62" t="str">
        <f t="shared" si="7"/>
        <v>Poor</v>
      </c>
    </row>
    <row r="63" spans="1:14" x14ac:dyDescent="0.25">
      <c r="A63" t="s">
        <v>189</v>
      </c>
      <c r="B63" t="str">
        <f t="shared" si="0"/>
        <v>Cleaning &amp; Appliances</v>
      </c>
      <c r="C63" t="s">
        <v>190</v>
      </c>
      <c r="D63">
        <f t="shared" si="1"/>
        <v>445</v>
      </c>
      <c r="E63" t="s">
        <v>191</v>
      </c>
      <c r="F63">
        <f t="shared" si="2"/>
        <v>873</v>
      </c>
      <c r="G63">
        <f t="shared" si="3"/>
        <v>428</v>
      </c>
      <c r="H63" s="1">
        <v>0.49</v>
      </c>
      <c r="I63" t="str">
        <f t="shared" si="4"/>
        <v>High</v>
      </c>
      <c r="J63">
        <v>-69</v>
      </c>
      <c r="K63" s="15">
        <f t="shared" si="5"/>
        <v>69</v>
      </c>
      <c r="L63" t="s">
        <v>192</v>
      </c>
      <c r="M63">
        <f t="shared" si="6"/>
        <v>2.8</v>
      </c>
      <c r="N63" t="str">
        <f t="shared" si="7"/>
        <v>Poor</v>
      </c>
    </row>
    <row r="64" spans="1:14" x14ac:dyDescent="0.25">
      <c r="A64" t="s">
        <v>193</v>
      </c>
      <c r="B64" t="str">
        <f t="shared" si="0"/>
        <v>Other</v>
      </c>
      <c r="C64" t="s">
        <v>194</v>
      </c>
      <c r="D64">
        <f t="shared" si="1"/>
        <v>325</v>
      </c>
      <c r="E64" t="s">
        <v>195</v>
      </c>
      <c r="F64">
        <f t="shared" si="2"/>
        <v>680</v>
      </c>
      <c r="G64">
        <f t="shared" si="3"/>
        <v>355</v>
      </c>
      <c r="H64" s="1">
        <v>0.52</v>
      </c>
      <c r="I64" t="str">
        <f t="shared" si="4"/>
        <v>High</v>
      </c>
      <c r="J64">
        <v>-15</v>
      </c>
      <c r="K64" s="15">
        <f t="shared" si="5"/>
        <v>15</v>
      </c>
      <c r="L64" t="s">
        <v>196</v>
      </c>
      <c r="M64">
        <f t="shared" si="6"/>
        <v>2.7</v>
      </c>
      <c r="N64" t="str">
        <f t="shared" si="7"/>
        <v>Poor</v>
      </c>
    </row>
    <row r="65" spans="1:14" x14ac:dyDescent="0.25">
      <c r="A65" t="s">
        <v>197</v>
      </c>
      <c r="B65" t="str">
        <f t="shared" si="0"/>
        <v>Cleaning &amp; Appliances</v>
      </c>
      <c r="C65" t="s">
        <v>198</v>
      </c>
      <c r="D65">
        <f t="shared" si="1"/>
        <v>1220</v>
      </c>
      <c r="E65" t="s">
        <v>199</v>
      </c>
      <c r="F65">
        <f t="shared" si="2"/>
        <v>1555</v>
      </c>
      <c r="G65">
        <f t="shared" si="3"/>
        <v>335</v>
      </c>
      <c r="H65" s="1">
        <v>0.22</v>
      </c>
      <c r="I65" t="str">
        <f t="shared" si="4"/>
        <v xml:space="preserve">Medium </v>
      </c>
      <c r="J65">
        <v>-16</v>
      </c>
      <c r="K65" s="15">
        <f t="shared" si="5"/>
        <v>16</v>
      </c>
      <c r="L65" t="s">
        <v>200</v>
      </c>
      <c r="M65">
        <f t="shared" si="6"/>
        <v>2.9</v>
      </c>
      <c r="N65" t="str">
        <f t="shared" si="7"/>
        <v>Poor</v>
      </c>
    </row>
    <row r="66" spans="1:14" x14ac:dyDescent="0.25">
      <c r="A66" t="s">
        <v>201</v>
      </c>
      <c r="B66" t="str">
        <f t="shared" si="0"/>
        <v>Home Decor</v>
      </c>
      <c r="C66" t="s">
        <v>44</v>
      </c>
      <c r="D66">
        <f t="shared" si="1"/>
        <v>990</v>
      </c>
      <c r="E66" t="s">
        <v>202</v>
      </c>
      <c r="F66">
        <f t="shared" si="2"/>
        <v>1814</v>
      </c>
      <c r="G66">
        <f t="shared" si="3"/>
        <v>824</v>
      </c>
      <c r="H66" s="1">
        <v>0.45</v>
      </c>
      <c r="I66" t="str">
        <f t="shared" si="4"/>
        <v>High</v>
      </c>
      <c r="J66">
        <v>-6</v>
      </c>
      <c r="K66" s="15">
        <f t="shared" si="5"/>
        <v>6</v>
      </c>
      <c r="L66" t="s">
        <v>203</v>
      </c>
      <c r="M66">
        <f t="shared" si="6"/>
        <v>2.2000000000000002</v>
      </c>
      <c r="N66" t="str">
        <f t="shared" si="7"/>
        <v>Poor</v>
      </c>
    </row>
    <row r="67" spans="1:14" x14ac:dyDescent="0.25">
      <c r="A67" t="s">
        <v>204</v>
      </c>
      <c r="B67" t="str">
        <f t="shared" ref="B67:B110" si="8">IF(OR(ISNUMBER(SEARCH("screwdriver",A67)),ISNUMBER(SEARCH("drill",A67)),ISNUMBER(SEARCH("grinder",A67))),"Tools &amp; Hardware",
IF(OR(ISNUMBER(SEARCH("vacuum",A67)),ISNUMBER(SEARCH("humidifier",A67)),ISNUMBER(SEARCH("fan",A67))),"Cleaning &amp; Appliances",
IF(OR(ISNUMBER(SEARCH("hook",A67)),ISNUMBER(SEARCH("clock",A67)),ISNUMBER(SEARCH("rack",A67)),ISNUMBER(SEARCH("table",A67))),"Home &amp; Kitchen",
IF(OR(ISNUMBER(SEARCH("pillow",A67)),ISNUMBER(SEARCH("cushion",A67)),ISNUMBER(SEARCH("decor",A67))),"Home Decor",
IF(OR(ISNUMBER(SEARCH("crochet",A67)),ISNUMBER(SEARCH("knitting",A67)),ISNUMBER(SEARCH("cake",A67))),"Craft &amp; DIY",
"Other")))))</f>
        <v>Home &amp; Kitchen</v>
      </c>
      <c r="C67" t="s">
        <v>205</v>
      </c>
      <c r="D67">
        <f t="shared" ref="D67:D110" si="9">VALUE(SUBSTITUTE(SUBSTITUTE(C67,"KSh ",""),",",""))</f>
        <v>1000</v>
      </c>
      <c r="E67" t="s">
        <v>141</v>
      </c>
      <c r="F67">
        <f t="shared" ref="F67:F110" si="10">VALUE(SUBSTITUTE(SUBSTITUTE(E67,"KSh ",""),",",""))</f>
        <v>2000</v>
      </c>
      <c r="G67">
        <f t="shared" ref="G67:G110" si="11">F67-D67</f>
        <v>1000</v>
      </c>
      <c r="H67" s="1">
        <v>0.5</v>
      </c>
      <c r="I67" t="str">
        <f t="shared" ref="I67:I110" si="12">IF(H67&lt;20%,"Low",
 IF(H67&lt;=40%,"Medium ",
 "High"))</f>
        <v>High</v>
      </c>
      <c r="J67">
        <v>-7</v>
      </c>
      <c r="K67" s="15">
        <f t="shared" ref="K67:K110" si="13">IF(J67="","",ABS(J67))</f>
        <v>7</v>
      </c>
      <c r="L67" t="s">
        <v>206</v>
      </c>
      <c r="M67">
        <f t="shared" ref="M67:M110" si="14">IF(L67="","",VALUE(LEFT(L67,FIND(" ",L67)-1)))</f>
        <v>2.2999999999999998</v>
      </c>
      <c r="N67" t="str">
        <f t="shared" ref="N67:N111" si="15">IF(M67="","",IF(M67&lt;3,"Poor",IF(M67&lt;4.5,"Average","Excellent")))</f>
        <v>Poor</v>
      </c>
    </row>
    <row r="68" spans="1:14" x14ac:dyDescent="0.25">
      <c r="A68" t="s">
        <v>207</v>
      </c>
      <c r="B68" t="str">
        <f t="shared" si="8"/>
        <v>Tools &amp; Hardware</v>
      </c>
      <c r="C68" t="s">
        <v>208</v>
      </c>
      <c r="D68">
        <f t="shared" si="9"/>
        <v>3750</v>
      </c>
      <c r="E68" t="s">
        <v>209</v>
      </c>
      <c r="F68">
        <f t="shared" si="10"/>
        <v>6143</v>
      </c>
      <c r="G68">
        <f t="shared" si="11"/>
        <v>2393</v>
      </c>
      <c r="H68" s="1">
        <v>0.39</v>
      </c>
      <c r="I68" t="str">
        <f t="shared" si="12"/>
        <v xml:space="preserve">Medium </v>
      </c>
      <c r="J68">
        <v>-5</v>
      </c>
      <c r="K68" s="15">
        <f t="shared" si="13"/>
        <v>5</v>
      </c>
      <c r="L68" t="s">
        <v>184</v>
      </c>
      <c r="M68">
        <f t="shared" si="14"/>
        <v>3</v>
      </c>
      <c r="N68" t="str">
        <f t="shared" si="15"/>
        <v>Average</v>
      </c>
    </row>
    <row r="69" spans="1:14" x14ac:dyDescent="0.25">
      <c r="A69" t="s">
        <v>210</v>
      </c>
      <c r="B69" t="str">
        <f t="shared" si="8"/>
        <v>Other</v>
      </c>
      <c r="C69" t="s">
        <v>103</v>
      </c>
      <c r="D69">
        <f t="shared" si="9"/>
        <v>382</v>
      </c>
      <c r="E69" t="s">
        <v>211</v>
      </c>
      <c r="F69">
        <f t="shared" si="10"/>
        <v>700</v>
      </c>
      <c r="G69">
        <f t="shared" si="11"/>
        <v>318</v>
      </c>
      <c r="H69" s="1">
        <v>0.45</v>
      </c>
      <c r="I69" t="str">
        <f t="shared" si="12"/>
        <v>High</v>
      </c>
      <c r="J69">
        <v>-17</v>
      </c>
      <c r="K69" s="15">
        <f t="shared" si="13"/>
        <v>17</v>
      </c>
      <c r="L69" t="s">
        <v>212</v>
      </c>
      <c r="M69">
        <f t="shared" si="14"/>
        <v>2.6</v>
      </c>
      <c r="N69" t="str">
        <f t="shared" si="15"/>
        <v>Poor</v>
      </c>
    </row>
    <row r="70" spans="1:14" x14ac:dyDescent="0.25">
      <c r="A70" t="s">
        <v>213</v>
      </c>
      <c r="B70" t="str">
        <f t="shared" si="8"/>
        <v>Home &amp; Kitchen</v>
      </c>
      <c r="C70" t="s">
        <v>214</v>
      </c>
      <c r="D70">
        <f t="shared" si="9"/>
        <v>2300</v>
      </c>
      <c r="E70" t="s">
        <v>215</v>
      </c>
      <c r="F70">
        <f t="shared" si="10"/>
        <v>3240</v>
      </c>
      <c r="G70">
        <f t="shared" si="11"/>
        <v>940</v>
      </c>
      <c r="H70" s="1">
        <v>0.28999999999999998</v>
      </c>
      <c r="I70" t="str">
        <f t="shared" si="12"/>
        <v xml:space="preserve">Medium </v>
      </c>
      <c r="J70">
        <v>-5</v>
      </c>
      <c r="K70" s="15">
        <f t="shared" si="13"/>
        <v>5</v>
      </c>
      <c r="L70" t="s">
        <v>184</v>
      </c>
      <c r="M70">
        <f t="shared" si="14"/>
        <v>3</v>
      </c>
      <c r="N70" t="str">
        <f t="shared" si="15"/>
        <v>Average</v>
      </c>
    </row>
    <row r="71" spans="1:14" x14ac:dyDescent="0.25">
      <c r="A71" t="s">
        <v>216</v>
      </c>
      <c r="B71" t="str">
        <f t="shared" si="8"/>
        <v>Home Decor</v>
      </c>
      <c r="C71" t="s">
        <v>217</v>
      </c>
      <c r="D71">
        <f t="shared" si="9"/>
        <v>345</v>
      </c>
      <c r="E71" t="s">
        <v>218</v>
      </c>
      <c r="F71">
        <f t="shared" si="10"/>
        <v>602</v>
      </c>
      <c r="G71">
        <f t="shared" si="11"/>
        <v>257</v>
      </c>
      <c r="H71" s="1">
        <v>0.43</v>
      </c>
      <c r="I71" t="str">
        <f t="shared" si="12"/>
        <v>High</v>
      </c>
      <c r="J71">
        <v>-6</v>
      </c>
      <c r="K71" s="15">
        <f t="shared" si="13"/>
        <v>6</v>
      </c>
      <c r="L71" t="s">
        <v>206</v>
      </c>
      <c r="M71">
        <f t="shared" si="14"/>
        <v>2.2999999999999998</v>
      </c>
      <c r="N71" t="str">
        <f t="shared" si="15"/>
        <v>Poor</v>
      </c>
    </row>
    <row r="72" spans="1:14" x14ac:dyDescent="0.25">
      <c r="A72" t="s">
        <v>219</v>
      </c>
      <c r="B72" t="str">
        <f t="shared" si="8"/>
        <v>Home &amp; Kitchen</v>
      </c>
      <c r="C72" t="s">
        <v>220</v>
      </c>
      <c r="D72">
        <f t="shared" si="9"/>
        <v>509</v>
      </c>
      <c r="E72" t="s">
        <v>221</v>
      </c>
      <c r="F72">
        <f t="shared" si="10"/>
        <v>899</v>
      </c>
      <c r="G72">
        <f t="shared" si="11"/>
        <v>390</v>
      </c>
      <c r="H72" s="1">
        <v>0.43</v>
      </c>
      <c r="I72" t="str">
        <f t="shared" si="12"/>
        <v>High</v>
      </c>
      <c r="J72">
        <v>-5</v>
      </c>
      <c r="K72" s="15">
        <f t="shared" si="13"/>
        <v>5</v>
      </c>
      <c r="L72" t="s">
        <v>184</v>
      </c>
      <c r="M72">
        <f t="shared" si="14"/>
        <v>3</v>
      </c>
      <c r="N72" t="str">
        <f t="shared" si="15"/>
        <v>Average</v>
      </c>
    </row>
    <row r="73" spans="1:14" x14ac:dyDescent="0.25">
      <c r="A73" t="s">
        <v>222</v>
      </c>
      <c r="B73" t="str">
        <f t="shared" si="8"/>
        <v>Other</v>
      </c>
      <c r="C73" t="s">
        <v>223</v>
      </c>
      <c r="D73">
        <f t="shared" si="9"/>
        <v>968</v>
      </c>
      <c r="E73" t="s">
        <v>202</v>
      </c>
      <c r="F73">
        <f t="shared" si="10"/>
        <v>1814</v>
      </c>
      <c r="G73">
        <f t="shared" si="11"/>
        <v>846</v>
      </c>
      <c r="H73" s="1">
        <v>0.47</v>
      </c>
      <c r="I73" t="str">
        <f t="shared" si="12"/>
        <v>High</v>
      </c>
      <c r="J73">
        <v>-6</v>
      </c>
      <c r="K73" s="15">
        <f t="shared" si="13"/>
        <v>6</v>
      </c>
      <c r="L73" t="s">
        <v>203</v>
      </c>
      <c r="M73">
        <f t="shared" si="14"/>
        <v>2.2000000000000002</v>
      </c>
      <c r="N73" t="str">
        <f t="shared" si="15"/>
        <v>Poor</v>
      </c>
    </row>
    <row r="74" spans="1:14" x14ac:dyDescent="0.25">
      <c r="A74" t="s">
        <v>224</v>
      </c>
      <c r="B74" t="str">
        <f t="shared" si="8"/>
        <v>Other</v>
      </c>
      <c r="C74" t="s">
        <v>225</v>
      </c>
      <c r="D74">
        <f t="shared" si="9"/>
        <v>1570</v>
      </c>
      <c r="E74" t="s">
        <v>226</v>
      </c>
      <c r="F74">
        <f t="shared" si="10"/>
        <v>2988</v>
      </c>
      <c r="G74">
        <f t="shared" si="11"/>
        <v>1418</v>
      </c>
      <c r="H74" s="1">
        <v>0.47</v>
      </c>
      <c r="I74" t="str">
        <f t="shared" si="12"/>
        <v>High</v>
      </c>
      <c r="J74">
        <v>-7</v>
      </c>
      <c r="K74" s="15">
        <f t="shared" si="13"/>
        <v>7</v>
      </c>
      <c r="L74" t="s">
        <v>188</v>
      </c>
      <c r="M74">
        <f t="shared" si="14"/>
        <v>2.1</v>
      </c>
      <c r="N74" t="str">
        <f t="shared" si="15"/>
        <v>Poor</v>
      </c>
    </row>
    <row r="75" spans="1:14" x14ac:dyDescent="0.25">
      <c r="A75" t="s">
        <v>227</v>
      </c>
      <c r="B75" t="str">
        <f t="shared" si="8"/>
        <v>Other</v>
      </c>
      <c r="C75" t="s">
        <v>228</v>
      </c>
      <c r="D75">
        <f t="shared" si="9"/>
        <v>790</v>
      </c>
      <c r="E75" t="s">
        <v>229</v>
      </c>
      <c r="F75">
        <f t="shared" si="10"/>
        <v>1485</v>
      </c>
      <c r="G75">
        <f t="shared" si="11"/>
        <v>695</v>
      </c>
      <c r="H75" s="1">
        <v>0.47</v>
      </c>
      <c r="I75" t="str">
        <f t="shared" si="12"/>
        <v>High</v>
      </c>
      <c r="K75" s="15" t="str">
        <f t="shared" si="13"/>
        <v/>
      </c>
      <c r="M75" t="str">
        <f t="shared" si="14"/>
        <v/>
      </c>
      <c r="N75" t="str">
        <f t="shared" si="15"/>
        <v/>
      </c>
    </row>
    <row r="76" spans="1:14" x14ac:dyDescent="0.25">
      <c r="A76" t="s">
        <v>230</v>
      </c>
      <c r="B76" t="str">
        <f t="shared" si="8"/>
        <v>Other</v>
      </c>
      <c r="C76" t="s">
        <v>231</v>
      </c>
      <c r="D76">
        <f t="shared" si="9"/>
        <v>690</v>
      </c>
      <c r="E76" t="s">
        <v>149</v>
      </c>
      <c r="F76">
        <f t="shared" si="10"/>
        <v>1200</v>
      </c>
      <c r="G76">
        <f t="shared" si="11"/>
        <v>510</v>
      </c>
      <c r="H76" s="1">
        <v>0.43</v>
      </c>
      <c r="I76" t="str">
        <f t="shared" si="12"/>
        <v>High</v>
      </c>
      <c r="K76" s="15" t="str">
        <f t="shared" si="13"/>
        <v/>
      </c>
      <c r="M76" t="str">
        <f t="shared" si="14"/>
        <v/>
      </c>
      <c r="N76" t="str">
        <f t="shared" si="15"/>
        <v/>
      </c>
    </row>
    <row r="77" spans="1:14" x14ac:dyDescent="0.25">
      <c r="A77" t="s">
        <v>232</v>
      </c>
      <c r="B77" t="str">
        <f t="shared" si="8"/>
        <v>Home Decor</v>
      </c>
      <c r="C77" t="s">
        <v>233</v>
      </c>
      <c r="D77">
        <f t="shared" si="9"/>
        <v>1732</v>
      </c>
      <c r="E77" t="s">
        <v>234</v>
      </c>
      <c r="F77">
        <f t="shared" si="10"/>
        <v>1799</v>
      </c>
      <c r="G77">
        <f t="shared" si="11"/>
        <v>67</v>
      </c>
      <c r="H77" s="1">
        <v>0.04</v>
      </c>
      <c r="I77" t="str">
        <f t="shared" si="12"/>
        <v>Low</v>
      </c>
      <c r="K77" s="15" t="str">
        <f t="shared" si="13"/>
        <v/>
      </c>
      <c r="M77" t="str">
        <f t="shared" si="14"/>
        <v/>
      </c>
      <c r="N77" t="str">
        <f t="shared" si="15"/>
        <v/>
      </c>
    </row>
    <row r="78" spans="1:14" x14ac:dyDescent="0.25">
      <c r="A78" t="s">
        <v>235</v>
      </c>
      <c r="B78" t="str">
        <f t="shared" si="8"/>
        <v>Home &amp; Kitchen</v>
      </c>
      <c r="C78" t="s">
        <v>236</v>
      </c>
      <c r="D78">
        <f t="shared" si="9"/>
        <v>230</v>
      </c>
      <c r="E78" t="s">
        <v>237</v>
      </c>
      <c r="F78">
        <f t="shared" si="10"/>
        <v>450</v>
      </c>
      <c r="G78">
        <f t="shared" si="11"/>
        <v>220</v>
      </c>
      <c r="H78" s="1">
        <v>0.49</v>
      </c>
      <c r="I78" t="str">
        <f t="shared" si="12"/>
        <v>High</v>
      </c>
      <c r="K78" s="15" t="str">
        <f t="shared" si="13"/>
        <v/>
      </c>
      <c r="M78" t="str">
        <f t="shared" si="14"/>
        <v/>
      </c>
      <c r="N78" t="str">
        <f t="shared" si="15"/>
        <v/>
      </c>
    </row>
    <row r="79" spans="1:14" x14ac:dyDescent="0.25">
      <c r="A79" t="s">
        <v>238</v>
      </c>
      <c r="B79" t="str">
        <f t="shared" si="8"/>
        <v>Home Decor</v>
      </c>
      <c r="C79" t="s">
        <v>239</v>
      </c>
      <c r="D79">
        <f t="shared" si="9"/>
        <v>1189</v>
      </c>
      <c r="E79" t="s">
        <v>14</v>
      </c>
      <c r="F79">
        <f t="shared" si="10"/>
        <v>2199</v>
      </c>
      <c r="G79">
        <f t="shared" si="11"/>
        <v>1010</v>
      </c>
      <c r="H79" s="1">
        <v>0.46</v>
      </c>
      <c r="I79" t="str">
        <f t="shared" si="12"/>
        <v>High</v>
      </c>
      <c r="J79">
        <v>-1</v>
      </c>
      <c r="K79" s="15">
        <f t="shared" si="13"/>
        <v>1</v>
      </c>
      <c r="L79" t="s">
        <v>184</v>
      </c>
      <c r="M79">
        <f t="shared" si="14"/>
        <v>3</v>
      </c>
      <c r="N79" t="str">
        <f t="shared" si="15"/>
        <v>Average</v>
      </c>
    </row>
    <row r="80" spans="1:14" x14ac:dyDescent="0.25">
      <c r="A80" t="s">
        <v>240</v>
      </c>
      <c r="B80" t="str">
        <f t="shared" si="8"/>
        <v>Home &amp; Kitchen</v>
      </c>
      <c r="C80" t="s">
        <v>241</v>
      </c>
      <c r="D80">
        <f t="shared" si="9"/>
        <v>979</v>
      </c>
      <c r="E80" t="s">
        <v>242</v>
      </c>
      <c r="F80">
        <f t="shared" si="10"/>
        <v>1920</v>
      </c>
      <c r="G80">
        <f t="shared" si="11"/>
        <v>941</v>
      </c>
      <c r="H80" s="1">
        <v>0.49</v>
      </c>
      <c r="I80" t="str">
        <f t="shared" si="12"/>
        <v>High</v>
      </c>
      <c r="J80">
        <v>-1</v>
      </c>
      <c r="K80" s="15">
        <f t="shared" si="13"/>
        <v>1</v>
      </c>
      <c r="L80" t="s">
        <v>58</v>
      </c>
      <c r="M80">
        <f t="shared" si="14"/>
        <v>5</v>
      </c>
      <c r="N80" t="str">
        <f t="shared" si="15"/>
        <v>Excellent</v>
      </c>
    </row>
    <row r="81" spans="1:14" x14ac:dyDescent="0.25">
      <c r="A81" t="s">
        <v>243</v>
      </c>
      <c r="B81" t="str">
        <f t="shared" si="8"/>
        <v>Home &amp; Kitchen</v>
      </c>
      <c r="C81" t="s">
        <v>244</v>
      </c>
      <c r="D81">
        <f t="shared" si="9"/>
        <v>1460</v>
      </c>
      <c r="E81" t="s">
        <v>245</v>
      </c>
      <c r="F81">
        <f t="shared" si="10"/>
        <v>2290</v>
      </c>
      <c r="G81">
        <f t="shared" si="11"/>
        <v>830</v>
      </c>
      <c r="H81" s="1">
        <v>0.36</v>
      </c>
      <c r="I81" t="str">
        <f t="shared" si="12"/>
        <v xml:space="preserve">Medium </v>
      </c>
      <c r="K81" s="15" t="str">
        <f t="shared" si="13"/>
        <v/>
      </c>
      <c r="M81" t="str">
        <f t="shared" si="14"/>
        <v/>
      </c>
      <c r="N81" t="str">
        <f t="shared" si="15"/>
        <v/>
      </c>
    </row>
    <row r="82" spans="1:14" x14ac:dyDescent="0.25">
      <c r="A82" t="s">
        <v>246</v>
      </c>
      <c r="B82" t="str">
        <f t="shared" si="8"/>
        <v>Other</v>
      </c>
      <c r="C82" t="s">
        <v>247</v>
      </c>
      <c r="D82">
        <f t="shared" si="9"/>
        <v>1666</v>
      </c>
      <c r="E82" t="s">
        <v>159</v>
      </c>
      <c r="F82">
        <f t="shared" si="10"/>
        <v>1699</v>
      </c>
      <c r="G82">
        <f t="shared" si="11"/>
        <v>33</v>
      </c>
      <c r="H82" s="1">
        <v>0.02</v>
      </c>
      <c r="I82" t="str">
        <f t="shared" si="12"/>
        <v>Low</v>
      </c>
      <c r="K82" s="15" t="str">
        <f t="shared" si="13"/>
        <v/>
      </c>
      <c r="M82" t="str">
        <f t="shared" si="14"/>
        <v/>
      </c>
      <c r="N82" t="str">
        <f t="shared" si="15"/>
        <v/>
      </c>
    </row>
    <row r="83" spans="1:14" x14ac:dyDescent="0.25">
      <c r="A83" t="s">
        <v>248</v>
      </c>
      <c r="B83" t="str">
        <f t="shared" si="8"/>
        <v>Other</v>
      </c>
      <c r="C83" t="s">
        <v>249</v>
      </c>
      <c r="D83">
        <f t="shared" si="9"/>
        <v>330</v>
      </c>
      <c r="E83" t="s">
        <v>90</v>
      </c>
      <c r="F83">
        <f t="shared" si="10"/>
        <v>647</v>
      </c>
      <c r="G83">
        <f t="shared" si="11"/>
        <v>317</v>
      </c>
      <c r="H83" s="1">
        <v>0.49</v>
      </c>
      <c r="I83" t="str">
        <f t="shared" si="12"/>
        <v>High</v>
      </c>
      <c r="J83">
        <v>-1</v>
      </c>
      <c r="K83" s="15">
        <f t="shared" si="13"/>
        <v>1</v>
      </c>
      <c r="L83" t="s">
        <v>28</v>
      </c>
      <c r="M83">
        <f t="shared" si="14"/>
        <v>4</v>
      </c>
      <c r="N83" t="str">
        <f t="shared" si="15"/>
        <v>Average</v>
      </c>
    </row>
    <row r="84" spans="1:14" x14ac:dyDescent="0.25">
      <c r="A84" t="s">
        <v>250</v>
      </c>
      <c r="B84" t="str">
        <f t="shared" si="8"/>
        <v>Home Decor</v>
      </c>
      <c r="C84" t="s">
        <v>251</v>
      </c>
      <c r="D84">
        <f t="shared" si="9"/>
        <v>1466</v>
      </c>
      <c r="E84" t="s">
        <v>159</v>
      </c>
      <c r="F84">
        <f t="shared" si="10"/>
        <v>1699</v>
      </c>
      <c r="G84">
        <f t="shared" si="11"/>
        <v>233</v>
      </c>
      <c r="H84" s="1">
        <v>0.14000000000000001</v>
      </c>
      <c r="I84" t="str">
        <f t="shared" si="12"/>
        <v>Low</v>
      </c>
      <c r="K84" s="15" t="str">
        <f t="shared" si="13"/>
        <v/>
      </c>
      <c r="M84" t="str">
        <f t="shared" si="14"/>
        <v/>
      </c>
      <c r="N84" t="str">
        <f t="shared" si="15"/>
        <v/>
      </c>
    </row>
    <row r="85" spans="1:14" x14ac:dyDescent="0.25">
      <c r="A85" t="s">
        <v>252</v>
      </c>
      <c r="B85" t="str">
        <f t="shared" si="8"/>
        <v>Home Decor</v>
      </c>
      <c r="C85" t="s">
        <v>253</v>
      </c>
      <c r="D85">
        <f t="shared" si="9"/>
        <v>274</v>
      </c>
      <c r="E85" t="s">
        <v>254</v>
      </c>
      <c r="F85">
        <f t="shared" si="10"/>
        <v>537</v>
      </c>
      <c r="G85">
        <f t="shared" si="11"/>
        <v>263</v>
      </c>
      <c r="H85" s="1">
        <v>0.49</v>
      </c>
      <c r="I85" t="str">
        <f t="shared" si="12"/>
        <v>High</v>
      </c>
      <c r="K85" s="15" t="str">
        <f t="shared" si="13"/>
        <v/>
      </c>
      <c r="M85" t="str">
        <f t="shared" si="14"/>
        <v/>
      </c>
      <c r="N85" t="str">
        <f t="shared" si="15"/>
        <v/>
      </c>
    </row>
    <row r="86" spans="1:14" x14ac:dyDescent="0.25">
      <c r="A86" t="s">
        <v>255</v>
      </c>
      <c r="B86" t="str">
        <f t="shared" si="8"/>
        <v>Home &amp; Kitchen</v>
      </c>
      <c r="C86" t="s">
        <v>42</v>
      </c>
      <c r="D86">
        <f t="shared" si="9"/>
        <v>799</v>
      </c>
      <c r="E86" t="s">
        <v>169</v>
      </c>
      <c r="F86">
        <f t="shared" si="10"/>
        <v>900</v>
      </c>
      <c r="G86">
        <f t="shared" si="11"/>
        <v>101</v>
      </c>
      <c r="H86" s="1">
        <v>0.11</v>
      </c>
      <c r="I86" t="str">
        <f t="shared" si="12"/>
        <v>Low</v>
      </c>
      <c r="K86" s="15" t="str">
        <f t="shared" si="13"/>
        <v/>
      </c>
      <c r="M86" t="str">
        <f t="shared" si="14"/>
        <v/>
      </c>
      <c r="N86" t="str">
        <f t="shared" si="15"/>
        <v/>
      </c>
    </row>
    <row r="87" spans="1:14" x14ac:dyDescent="0.25">
      <c r="A87" t="s">
        <v>256</v>
      </c>
      <c r="B87" t="str">
        <f t="shared" si="8"/>
        <v>Other</v>
      </c>
      <c r="C87" t="s">
        <v>257</v>
      </c>
      <c r="D87">
        <f t="shared" si="9"/>
        <v>1468</v>
      </c>
      <c r="E87" t="s">
        <v>159</v>
      </c>
      <c r="F87">
        <f t="shared" si="10"/>
        <v>1699</v>
      </c>
      <c r="G87">
        <f t="shared" si="11"/>
        <v>231</v>
      </c>
      <c r="H87" s="1">
        <v>0.14000000000000001</v>
      </c>
      <c r="I87" t="str">
        <f t="shared" si="12"/>
        <v>Low</v>
      </c>
      <c r="K87" s="15" t="str">
        <f t="shared" si="13"/>
        <v/>
      </c>
      <c r="M87" t="str">
        <f t="shared" si="14"/>
        <v/>
      </c>
      <c r="N87" t="str">
        <f t="shared" si="15"/>
        <v/>
      </c>
    </row>
    <row r="88" spans="1:14" x14ac:dyDescent="0.25">
      <c r="A88" t="s">
        <v>258</v>
      </c>
      <c r="B88" t="str">
        <f t="shared" si="8"/>
        <v>Other</v>
      </c>
      <c r="C88" t="s">
        <v>259</v>
      </c>
      <c r="D88">
        <f t="shared" si="9"/>
        <v>630</v>
      </c>
      <c r="E88" t="s">
        <v>260</v>
      </c>
      <c r="F88">
        <f t="shared" si="10"/>
        <v>1100</v>
      </c>
      <c r="G88">
        <f t="shared" si="11"/>
        <v>470</v>
      </c>
      <c r="H88" s="1">
        <v>0.43</v>
      </c>
      <c r="I88" t="str">
        <f t="shared" si="12"/>
        <v>High</v>
      </c>
      <c r="K88" s="15" t="str">
        <f t="shared" si="13"/>
        <v/>
      </c>
      <c r="M88" t="str">
        <f t="shared" si="14"/>
        <v/>
      </c>
      <c r="N88" t="str">
        <f t="shared" si="15"/>
        <v/>
      </c>
    </row>
    <row r="89" spans="1:14" x14ac:dyDescent="0.25">
      <c r="A89" t="s">
        <v>261</v>
      </c>
      <c r="B89" t="str">
        <f t="shared" si="8"/>
        <v>Home &amp; Kitchen</v>
      </c>
      <c r="C89" t="s">
        <v>262</v>
      </c>
      <c r="D89">
        <f t="shared" si="9"/>
        <v>850</v>
      </c>
      <c r="E89" t="s">
        <v>263</v>
      </c>
      <c r="F89">
        <f t="shared" si="10"/>
        <v>1700</v>
      </c>
      <c r="G89">
        <f t="shared" si="11"/>
        <v>850</v>
      </c>
      <c r="H89" s="1">
        <v>0.5</v>
      </c>
      <c r="I89" t="str">
        <f t="shared" si="12"/>
        <v>High</v>
      </c>
      <c r="K89" s="15" t="str">
        <f t="shared" si="13"/>
        <v/>
      </c>
      <c r="M89" t="str">
        <f t="shared" si="14"/>
        <v/>
      </c>
      <c r="N89" t="str">
        <f t="shared" si="15"/>
        <v/>
      </c>
    </row>
    <row r="90" spans="1:14" x14ac:dyDescent="0.25">
      <c r="A90" t="s">
        <v>264</v>
      </c>
      <c r="B90" t="str">
        <f t="shared" si="8"/>
        <v>Home &amp; Kitchen</v>
      </c>
      <c r="C90" t="s">
        <v>265</v>
      </c>
      <c r="D90">
        <f t="shared" si="9"/>
        <v>1300</v>
      </c>
      <c r="E90" t="s">
        <v>179</v>
      </c>
      <c r="F90">
        <f t="shared" si="10"/>
        <v>2500</v>
      </c>
      <c r="G90">
        <f t="shared" si="11"/>
        <v>1200</v>
      </c>
      <c r="H90" s="1">
        <v>0.48</v>
      </c>
      <c r="I90" t="str">
        <f t="shared" si="12"/>
        <v>High</v>
      </c>
      <c r="K90" s="15" t="str">
        <f t="shared" si="13"/>
        <v/>
      </c>
      <c r="M90" t="str">
        <f t="shared" si="14"/>
        <v/>
      </c>
      <c r="N90" t="str">
        <f t="shared" si="15"/>
        <v/>
      </c>
    </row>
    <row r="91" spans="1:14" x14ac:dyDescent="0.25">
      <c r="A91" t="s">
        <v>266</v>
      </c>
      <c r="B91" t="str">
        <f t="shared" si="8"/>
        <v>Other</v>
      </c>
      <c r="C91" t="s">
        <v>267</v>
      </c>
      <c r="D91">
        <f t="shared" si="9"/>
        <v>105</v>
      </c>
      <c r="E91" t="s">
        <v>268</v>
      </c>
      <c r="F91">
        <f t="shared" si="10"/>
        <v>200</v>
      </c>
      <c r="G91">
        <f t="shared" si="11"/>
        <v>95</v>
      </c>
      <c r="H91" s="1">
        <v>0.48</v>
      </c>
      <c r="I91" t="str">
        <f t="shared" si="12"/>
        <v>High</v>
      </c>
      <c r="K91" s="15" t="str">
        <f t="shared" si="13"/>
        <v/>
      </c>
      <c r="M91" t="str">
        <f t="shared" si="14"/>
        <v/>
      </c>
      <c r="N91" t="str">
        <f t="shared" si="15"/>
        <v/>
      </c>
    </row>
    <row r="92" spans="1:14" x14ac:dyDescent="0.25">
      <c r="A92" t="s">
        <v>269</v>
      </c>
      <c r="B92" t="str">
        <f t="shared" si="8"/>
        <v>Other</v>
      </c>
      <c r="C92" t="s">
        <v>221</v>
      </c>
      <c r="D92">
        <f t="shared" si="9"/>
        <v>899</v>
      </c>
      <c r="E92" t="s">
        <v>159</v>
      </c>
      <c r="F92">
        <f t="shared" si="10"/>
        <v>1699</v>
      </c>
      <c r="G92">
        <f t="shared" si="11"/>
        <v>800</v>
      </c>
      <c r="H92" s="1">
        <v>0.47</v>
      </c>
      <c r="I92" t="str">
        <f t="shared" si="12"/>
        <v>High</v>
      </c>
      <c r="K92" s="15" t="str">
        <f t="shared" si="13"/>
        <v/>
      </c>
      <c r="M92" t="str">
        <f t="shared" si="14"/>
        <v/>
      </c>
      <c r="N92" t="str">
        <f t="shared" si="15"/>
        <v/>
      </c>
    </row>
    <row r="93" spans="1:14" x14ac:dyDescent="0.25">
      <c r="A93" t="s">
        <v>270</v>
      </c>
      <c r="B93" t="str">
        <f t="shared" si="8"/>
        <v>Home Decor</v>
      </c>
      <c r="C93" t="s">
        <v>149</v>
      </c>
      <c r="D93">
        <f t="shared" si="9"/>
        <v>1200</v>
      </c>
      <c r="E93" t="s">
        <v>271</v>
      </c>
      <c r="F93">
        <f t="shared" si="10"/>
        <v>2400</v>
      </c>
      <c r="G93">
        <f t="shared" si="11"/>
        <v>1200</v>
      </c>
      <c r="H93" s="1">
        <v>0.5</v>
      </c>
      <c r="I93" t="str">
        <f t="shared" si="12"/>
        <v>High</v>
      </c>
      <c r="K93" s="15" t="str">
        <f t="shared" si="13"/>
        <v/>
      </c>
      <c r="M93" t="str">
        <f t="shared" si="14"/>
        <v/>
      </c>
      <c r="N93" t="str">
        <f t="shared" si="15"/>
        <v/>
      </c>
    </row>
    <row r="94" spans="1:14" x14ac:dyDescent="0.25">
      <c r="A94" t="s">
        <v>272</v>
      </c>
      <c r="B94" t="str">
        <f t="shared" si="8"/>
        <v>Other</v>
      </c>
      <c r="C94" t="s">
        <v>273</v>
      </c>
      <c r="D94">
        <f t="shared" si="9"/>
        <v>1526</v>
      </c>
      <c r="E94" t="s">
        <v>158</v>
      </c>
      <c r="F94">
        <f t="shared" si="10"/>
        <v>1660</v>
      </c>
      <c r="G94">
        <f t="shared" si="11"/>
        <v>134</v>
      </c>
      <c r="H94" s="1">
        <v>0.08</v>
      </c>
      <c r="I94" t="str">
        <f t="shared" si="12"/>
        <v>Low</v>
      </c>
      <c r="K94" s="15" t="str">
        <f t="shared" si="13"/>
        <v/>
      </c>
      <c r="M94" t="str">
        <f t="shared" si="14"/>
        <v/>
      </c>
      <c r="N94" t="str">
        <f t="shared" si="15"/>
        <v/>
      </c>
    </row>
    <row r="95" spans="1:14" x14ac:dyDescent="0.25">
      <c r="A95" t="s">
        <v>274</v>
      </c>
      <c r="B95" t="str">
        <f t="shared" si="8"/>
        <v>Home &amp; Kitchen</v>
      </c>
      <c r="C95" t="s">
        <v>275</v>
      </c>
      <c r="D95">
        <f t="shared" si="9"/>
        <v>1462</v>
      </c>
      <c r="E95" t="s">
        <v>164</v>
      </c>
      <c r="F95">
        <f t="shared" si="10"/>
        <v>1499</v>
      </c>
      <c r="G95">
        <f t="shared" si="11"/>
        <v>37</v>
      </c>
      <c r="H95" s="1">
        <v>0.02</v>
      </c>
      <c r="I95" t="str">
        <f t="shared" si="12"/>
        <v>Low</v>
      </c>
      <c r="K95" s="15" t="str">
        <f t="shared" si="13"/>
        <v/>
      </c>
      <c r="M95" t="str">
        <f t="shared" si="14"/>
        <v/>
      </c>
      <c r="N95" t="str">
        <f t="shared" si="15"/>
        <v/>
      </c>
    </row>
    <row r="96" spans="1:14" x14ac:dyDescent="0.25">
      <c r="A96" t="s">
        <v>276</v>
      </c>
      <c r="B96" t="str">
        <f t="shared" si="8"/>
        <v>Other</v>
      </c>
      <c r="C96" t="s">
        <v>277</v>
      </c>
      <c r="D96">
        <f t="shared" si="9"/>
        <v>248</v>
      </c>
      <c r="E96" t="s">
        <v>278</v>
      </c>
      <c r="F96">
        <f t="shared" si="10"/>
        <v>486</v>
      </c>
      <c r="G96">
        <f t="shared" si="11"/>
        <v>238</v>
      </c>
      <c r="H96" s="1">
        <v>0.49</v>
      </c>
      <c r="I96" t="str">
        <f t="shared" si="12"/>
        <v>High</v>
      </c>
      <c r="K96" s="15" t="str">
        <f t="shared" si="13"/>
        <v/>
      </c>
      <c r="M96" t="str">
        <f t="shared" si="14"/>
        <v/>
      </c>
      <c r="N96" t="str">
        <f t="shared" si="15"/>
        <v/>
      </c>
    </row>
    <row r="97" spans="1:14" x14ac:dyDescent="0.25">
      <c r="A97" t="s">
        <v>279</v>
      </c>
      <c r="B97" t="str">
        <f t="shared" si="8"/>
        <v>Home &amp; Kitchen</v>
      </c>
      <c r="C97" t="s">
        <v>280</v>
      </c>
      <c r="D97">
        <f t="shared" si="9"/>
        <v>3546</v>
      </c>
      <c r="E97" t="s">
        <v>66</v>
      </c>
      <c r="F97">
        <f t="shared" si="10"/>
        <v>3699</v>
      </c>
      <c r="G97">
        <f t="shared" si="11"/>
        <v>153</v>
      </c>
      <c r="H97" s="1">
        <v>0.04</v>
      </c>
      <c r="I97" t="str">
        <f t="shared" si="12"/>
        <v>Low</v>
      </c>
      <c r="K97" s="15" t="str">
        <f t="shared" si="13"/>
        <v/>
      </c>
      <c r="M97" t="str">
        <f t="shared" si="14"/>
        <v/>
      </c>
      <c r="N97" t="str">
        <f t="shared" si="15"/>
        <v/>
      </c>
    </row>
    <row r="98" spans="1:14" x14ac:dyDescent="0.25">
      <c r="A98" t="s">
        <v>281</v>
      </c>
      <c r="B98" t="str">
        <f t="shared" si="8"/>
        <v>Other</v>
      </c>
      <c r="C98" t="s">
        <v>282</v>
      </c>
      <c r="D98">
        <f t="shared" si="9"/>
        <v>525</v>
      </c>
      <c r="E98" t="s">
        <v>283</v>
      </c>
      <c r="F98">
        <f t="shared" si="10"/>
        <v>1029</v>
      </c>
      <c r="G98">
        <f t="shared" si="11"/>
        <v>504</v>
      </c>
      <c r="H98" s="1">
        <v>0.49</v>
      </c>
      <c r="I98" t="str">
        <f t="shared" si="12"/>
        <v>High</v>
      </c>
      <c r="K98" s="15" t="str">
        <f t="shared" si="13"/>
        <v/>
      </c>
      <c r="M98" t="str">
        <f t="shared" si="14"/>
        <v/>
      </c>
      <c r="N98" t="str">
        <f t="shared" si="15"/>
        <v/>
      </c>
    </row>
    <row r="99" spans="1:14" x14ac:dyDescent="0.25">
      <c r="A99" t="s">
        <v>284</v>
      </c>
      <c r="B99" t="str">
        <f t="shared" si="8"/>
        <v>Tools &amp; Hardware</v>
      </c>
      <c r="C99" t="s">
        <v>285</v>
      </c>
      <c r="D99">
        <f t="shared" si="9"/>
        <v>1080</v>
      </c>
      <c r="E99" t="s">
        <v>286</v>
      </c>
      <c r="F99">
        <f t="shared" si="10"/>
        <v>1874</v>
      </c>
      <c r="G99">
        <f t="shared" si="11"/>
        <v>794</v>
      </c>
      <c r="H99" s="1">
        <v>0.42</v>
      </c>
      <c r="I99" t="str">
        <f t="shared" si="12"/>
        <v>High</v>
      </c>
      <c r="K99" s="15" t="str">
        <f t="shared" si="13"/>
        <v/>
      </c>
      <c r="M99" t="str">
        <f t="shared" si="14"/>
        <v/>
      </c>
      <c r="N99" t="str">
        <f t="shared" si="15"/>
        <v/>
      </c>
    </row>
    <row r="100" spans="1:14" x14ac:dyDescent="0.25">
      <c r="A100" t="s">
        <v>287</v>
      </c>
      <c r="B100" t="str">
        <f t="shared" si="8"/>
        <v>Other</v>
      </c>
      <c r="C100" t="s">
        <v>288</v>
      </c>
      <c r="D100">
        <f t="shared" si="9"/>
        <v>3640</v>
      </c>
      <c r="E100" t="s">
        <v>289</v>
      </c>
      <c r="F100">
        <f t="shared" si="10"/>
        <v>4588</v>
      </c>
      <c r="G100">
        <f t="shared" si="11"/>
        <v>948</v>
      </c>
      <c r="H100" s="1">
        <v>0.21</v>
      </c>
      <c r="I100" t="str">
        <f t="shared" si="12"/>
        <v xml:space="preserve">Medium </v>
      </c>
      <c r="J100">
        <v>-1</v>
      </c>
      <c r="K100" s="15">
        <f t="shared" si="13"/>
        <v>1</v>
      </c>
      <c r="L100" t="s">
        <v>58</v>
      </c>
      <c r="M100">
        <f t="shared" si="14"/>
        <v>5</v>
      </c>
      <c r="N100" t="str">
        <f t="shared" si="15"/>
        <v>Excellent</v>
      </c>
    </row>
    <row r="101" spans="1:14" x14ac:dyDescent="0.25">
      <c r="A101" t="s">
        <v>290</v>
      </c>
      <c r="B101" t="str">
        <f t="shared" si="8"/>
        <v>Other</v>
      </c>
      <c r="C101" t="s">
        <v>291</v>
      </c>
      <c r="D101">
        <f t="shared" si="9"/>
        <v>1420</v>
      </c>
      <c r="E101" t="s">
        <v>292</v>
      </c>
      <c r="F101">
        <f t="shared" si="10"/>
        <v>2420</v>
      </c>
      <c r="G101">
        <f t="shared" si="11"/>
        <v>1000</v>
      </c>
      <c r="H101" s="1">
        <v>0.41</v>
      </c>
      <c r="I101" t="str">
        <f t="shared" si="12"/>
        <v>High</v>
      </c>
      <c r="K101" s="15" t="str">
        <f t="shared" si="13"/>
        <v/>
      </c>
      <c r="M101" t="str">
        <f t="shared" si="14"/>
        <v/>
      </c>
      <c r="N101" t="str">
        <f t="shared" si="15"/>
        <v/>
      </c>
    </row>
    <row r="102" spans="1:14" x14ac:dyDescent="0.25">
      <c r="A102" t="s">
        <v>293</v>
      </c>
      <c r="B102" t="str">
        <f t="shared" si="8"/>
        <v>Home &amp; Kitchen</v>
      </c>
      <c r="C102" t="s">
        <v>294</v>
      </c>
      <c r="D102">
        <f t="shared" si="9"/>
        <v>1875</v>
      </c>
      <c r="E102" t="s">
        <v>295</v>
      </c>
      <c r="F102">
        <f t="shared" si="10"/>
        <v>1899</v>
      </c>
      <c r="G102">
        <f t="shared" si="11"/>
        <v>24</v>
      </c>
      <c r="H102" s="1">
        <v>0.01</v>
      </c>
      <c r="I102" t="str">
        <f t="shared" si="12"/>
        <v>Low</v>
      </c>
      <c r="K102" s="15" t="str">
        <f t="shared" si="13"/>
        <v/>
      </c>
      <c r="M102" t="str">
        <f t="shared" si="14"/>
        <v/>
      </c>
      <c r="N102" t="str">
        <f t="shared" si="15"/>
        <v/>
      </c>
    </row>
    <row r="103" spans="1:14" x14ac:dyDescent="0.25">
      <c r="A103" t="s">
        <v>296</v>
      </c>
      <c r="B103" t="str">
        <f t="shared" si="8"/>
        <v>Other</v>
      </c>
      <c r="C103" t="s">
        <v>297</v>
      </c>
      <c r="D103">
        <f t="shared" si="9"/>
        <v>198</v>
      </c>
      <c r="E103" t="s">
        <v>298</v>
      </c>
      <c r="F103">
        <f t="shared" si="10"/>
        <v>260</v>
      </c>
      <c r="G103">
        <f t="shared" si="11"/>
        <v>62</v>
      </c>
      <c r="H103" s="1">
        <v>0.24</v>
      </c>
      <c r="I103" t="str">
        <f t="shared" si="12"/>
        <v xml:space="preserve">Medium </v>
      </c>
      <c r="K103" s="15" t="str">
        <f t="shared" si="13"/>
        <v/>
      </c>
      <c r="M103" t="str">
        <f t="shared" si="14"/>
        <v/>
      </c>
      <c r="N103" t="str">
        <f t="shared" si="15"/>
        <v/>
      </c>
    </row>
    <row r="104" spans="1:14" x14ac:dyDescent="0.25">
      <c r="A104" t="s">
        <v>299</v>
      </c>
      <c r="B104" t="str">
        <f t="shared" si="8"/>
        <v>Other</v>
      </c>
      <c r="C104" t="s">
        <v>300</v>
      </c>
      <c r="D104">
        <f t="shared" si="9"/>
        <v>1150</v>
      </c>
      <c r="E104" t="s">
        <v>301</v>
      </c>
      <c r="F104">
        <f t="shared" si="10"/>
        <v>1737</v>
      </c>
      <c r="G104">
        <f t="shared" si="11"/>
        <v>587</v>
      </c>
      <c r="H104" s="1">
        <v>0.34</v>
      </c>
      <c r="I104" t="str">
        <f t="shared" si="12"/>
        <v xml:space="preserve">Medium </v>
      </c>
      <c r="K104" s="15" t="str">
        <f t="shared" si="13"/>
        <v/>
      </c>
      <c r="M104" t="str">
        <f t="shared" si="14"/>
        <v/>
      </c>
      <c r="N104" t="str">
        <f t="shared" si="15"/>
        <v/>
      </c>
    </row>
    <row r="105" spans="1:14" x14ac:dyDescent="0.25">
      <c r="A105" t="s">
        <v>302</v>
      </c>
      <c r="B105" t="str">
        <f t="shared" si="8"/>
        <v>Other</v>
      </c>
      <c r="C105" t="s">
        <v>143</v>
      </c>
      <c r="D105">
        <f t="shared" si="9"/>
        <v>1190</v>
      </c>
      <c r="E105" t="s">
        <v>303</v>
      </c>
      <c r="F105">
        <f t="shared" si="10"/>
        <v>1810</v>
      </c>
      <c r="G105">
        <f t="shared" si="11"/>
        <v>620</v>
      </c>
      <c r="H105" s="1">
        <v>0.34</v>
      </c>
      <c r="I105" t="str">
        <f t="shared" si="12"/>
        <v xml:space="preserve">Medium </v>
      </c>
      <c r="K105" s="15" t="str">
        <f t="shared" si="13"/>
        <v/>
      </c>
      <c r="M105" t="str">
        <f t="shared" si="14"/>
        <v/>
      </c>
      <c r="N105" t="str">
        <f t="shared" si="15"/>
        <v/>
      </c>
    </row>
    <row r="106" spans="1:14" x14ac:dyDescent="0.25">
      <c r="A106" t="s">
        <v>304</v>
      </c>
      <c r="B106" t="str">
        <f t="shared" si="8"/>
        <v>Other</v>
      </c>
      <c r="C106" t="s">
        <v>305</v>
      </c>
      <c r="D106">
        <f t="shared" si="9"/>
        <v>1658</v>
      </c>
      <c r="E106" t="s">
        <v>159</v>
      </c>
      <c r="F106">
        <f t="shared" si="10"/>
        <v>1699</v>
      </c>
      <c r="G106">
        <f t="shared" si="11"/>
        <v>41</v>
      </c>
      <c r="H106" s="1">
        <v>0.02</v>
      </c>
      <c r="I106" t="str">
        <f t="shared" si="12"/>
        <v>Low</v>
      </c>
      <c r="K106" s="15" t="str">
        <f t="shared" si="13"/>
        <v/>
      </c>
      <c r="M106" t="str">
        <f t="shared" si="14"/>
        <v/>
      </c>
      <c r="N106" t="str">
        <f t="shared" si="15"/>
        <v/>
      </c>
    </row>
    <row r="107" spans="1:14" x14ac:dyDescent="0.25">
      <c r="A107" t="s">
        <v>306</v>
      </c>
      <c r="B107" t="str">
        <f t="shared" si="8"/>
        <v>Other</v>
      </c>
      <c r="C107" t="s">
        <v>307</v>
      </c>
      <c r="D107">
        <f t="shared" si="9"/>
        <v>1768</v>
      </c>
      <c r="E107" t="s">
        <v>234</v>
      </c>
      <c r="F107">
        <f t="shared" si="10"/>
        <v>1799</v>
      </c>
      <c r="G107">
        <f t="shared" si="11"/>
        <v>31</v>
      </c>
      <c r="H107" s="1">
        <v>0.02</v>
      </c>
      <c r="I107" t="str">
        <f t="shared" si="12"/>
        <v>Low</v>
      </c>
      <c r="K107" s="15" t="str">
        <f t="shared" si="13"/>
        <v/>
      </c>
      <c r="M107" t="str">
        <f t="shared" si="14"/>
        <v/>
      </c>
      <c r="N107" t="str">
        <f t="shared" si="15"/>
        <v/>
      </c>
    </row>
    <row r="108" spans="1:14" x14ac:dyDescent="0.25">
      <c r="A108" t="s">
        <v>308</v>
      </c>
      <c r="B108" t="str">
        <f t="shared" si="8"/>
        <v>Other</v>
      </c>
      <c r="C108" t="s">
        <v>152</v>
      </c>
      <c r="D108">
        <f t="shared" si="9"/>
        <v>199</v>
      </c>
      <c r="E108" t="s">
        <v>309</v>
      </c>
      <c r="F108">
        <f t="shared" si="10"/>
        <v>553</v>
      </c>
      <c r="G108">
        <f t="shared" si="11"/>
        <v>354</v>
      </c>
      <c r="H108" s="1">
        <v>0.64</v>
      </c>
      <c r="I108" t="str">
        <f t="shared" si="12"/>
        <v>High</v>
      </c>
      <c r="K108" s="15" t="str">
        <f t="shared" si="13"/>
        <v/>
      </c>
      <c r="M108" t="str">
        <f t="shared" si="14"/>
        <v/>
      </c>
      <c r="N108" t="str">
        <f t="shared" si="15"/>
        <v/>
      </c>
    </row>
    <row r="109" spans="1:14" x14ac:dyDescent="0.25">
      <c r="A109" t="s">
        <v>310</v>
      </c>
      <c r="B109" t="str">
        <f t="shared" si="8"/>
        <v>Other</v>
      </c>
      <c r="C109" t="s">
        <v>237</v>
      </c>
      <c r="D109">
        <f t="shared" si="9"/>
        <v>450</v>
      </c>
      <c r="E109" t="s">
        <v>169</v>
      </c>
      <c r="F109">
        <f t="shared" si="10"/>
        <v>900</v>
      </c>
      <c r="G109">
        <f t="shared" si="11"/>
        <v>450</v>
      </c>
      <c r="H109" s="1">
        <v>0.5</v>
      </c>
      <c r="I109" t="str">
        <f t="shared" si="12"/>
        <v>High</v>
      </c>
      <c r="J109">
        <v>-1</v>
      </c>
      <c r="K109" s="15">
        <f t="shared" si="13"/>
        <v>1</v>
      </c>
      <c r="L109" t="s">
        <v>311</v>
      </c>
      <c r="M109">
        <f t="shared" si="14"/>
        <v>2</v>
      </c>
      <c r="N109" t="str">
        <f t="shared" si="15"/>
        <v>Poor</v>
      </c>
    </row>
    <row r="110" spans="1:14" x14ac:dyDescent="0.25">
      <c r="A110" t="s">
        <v>312</v>
      </c>
      <c r="B110" t="str">
        <f t="shared" si="8"/>
        <v>Other</v>
      </c>
      <c r="C110" t="s">
        <v>313</v>
      </c>
      <c r="D110">
        <f t="shared" si="9"/>
        <v>169</v>
      </c>
      <c r="E110" t="s">
        <v>314</v>
      </c>
      <c r="F110">
        <f t="shared" si="10"/>
        <v>320</v>
      </c>
      <c r="G110">
        <f t="shared" si="11"/>
        <v>151</v>
      </c>
      <c r="H110" s="1">
        <v>0.47</v>
      </c>
      <c r="I110" t="str">
        <f t="shared" si="12"/>
        <v>High</v>
      </c>
      <c r="K110" s="15" t="str">
        <f t="shared" si="13"/>
        <v/>
      </c>
      <c r="M110" t="str">
        <f t="shared" si="14"/>
        <v/>
      </c>
      <c r="N110" t="str">
        <f t="shared" si="15"/>
        <v/>
      </c>
    </row>
    <row r="111" spans="1:14" x14ac:dyDescent="0.25">
      <c r="A111">
        <f>COUNTA(A2:A110)</f>
        <v>109</v>
      </c>
      <c r="D111">
        <f>AVERAGE(D2:D110)</f>
        <v>1208.2568807339449</v>
      </c>
      <c r="F111">
        <f>AVERAGE(F2:F110)</f>
        <v>1837.7522935779816</v>
      </c>
      <c r="H111" s="1">
        <f>AVERAGE(H2:H110)</f>
        <v>0.36385321100917423</v>
      </c>
      <c r="K111" s="15">
        <f>SUM(K2:K110)</f>
        <v>723</v>
      </c>
      <c r="M111">
        <f>AVERAGE(M2:M110)</f>
        <v>3.8894736842105258</v>
      </c>
      <c r="N111" t="str">
        <f t="shared" si="15"/>
        <v>Average</v>
      </c>
    </row>
    <row r="117" spans="1:3" x14ac:dyDescent="0.25">
      <c r="A117" s="3"/>
      <c r="B117" s="4"/>
      <c r="C117" s="5"/>
    </row>
    <row r="118" spans="1:3" x14ac:dyDescent="0.25">
      <c r="A118" s="6"/>
      <c r="B118" s="7"/>
      <c r="C118" s="8"/>
    </row>
    <row r="119" spans="1:3" x14ac:dyDescent="0.25">
      <c r="A119" s="6"/>
      <c r="B119" s="7"/>
      <c r="C119" s="8"/>
    </row>
    <row r="120" spans="1:3" x14ac:dyDescent="0.25">
      <c r="A120" s="6"/>
      <c r="B120" s="7"/>
      <c r="C120" s="8"/>
    </row>
    <row r="121" spans="1:3" x14ac:dyDescent="0.25">
      <c r="A121" s="6"/>
      <c r="B121" s="7"/>
      <c r="C121" s="8"/>
    </row>
    <row r="122" spans="1:3" x14ac:dyDescent="0.25">
      <c r="A122" s="6"/>
      <c r="B122" s="7"/>
      <c r="C122" s="8"/>
    </row>
    <row r="123" spans="1:3" x14ac:dyDescent="0.25">
      <c r="A123" s="6"/>
      <c r="B123" s="7"/>
      <c r="C123" s="8"/>
    </row>
    <row r="124" spans="1:3" x14ac:dyDescent="0.25">
      <c r="A124" s="6"/>
      <c r="B124" s="7"/>
      <c r="C124" s="8"/>
    </row>
    <row r="125" spans="1:3" x14ac:dyDescent="0.25">
      <c r="A125" s="6"/>
      <c r="B125" s="7"/>
      <c r="C125" s="8"/>
    </row>
    <row r="126" spans="1:3" x14ac:dyDescent="0.25">
      <c r="A126" s="6"/>
      <c r="B126" s="7"/>
      <c r="C126" s="8"/>
    </row>
    <row r="127" spans="1:3" x14ac:dyDescent="0.25">
      <c r="A127" s="6"/>
      <c r="B127" s="7"/>
      <c r="C127" s="8"/>
    </row>
    <row r="128" spans="1:3" x14ac:dyDescent="0.25">
      <c r="A128" s="6"/>
      <c r="B128" s="7"/>
      <c r="C128" s="8"/>
    </row>
    <row r="129" spans="1:3" x14ac:dyDescent="0.25">
      <c r="A129" s="6"/>
      <c r="B129" s="7"/>
      <c r="C129" s="8"/>
    </row>
    <row r="130" spans="1:3" x14ac:dyDescent="0.25">
      <c r="A130" s="6"/>
      <c r="B130" s="7"/>
      <c r="C130" s="8"/>
    </row>
    <row r="131" spans="1:3" x14ac:dyDescent="0.25">
      <c r="A131" s="6"/>
      <c r="B131" s="7"/>
      <c r="C131" s="8"/>
    </row>
    <row r="132" spans="1:3" x14ac:dyDescent="0.25">
      <c r="A132" s="6"/>
      <c r="B132" s="7"/>
      <c r="C132" s="8"/>
    </row>
    <row r="133" spans="1:3" x14ac:dyDescent="0.25">
      <c r="A133" s="6"/>
      <c r="B133" s="7"/>
      <c r="C133" s="8"/>
    </row>
    <row r="134" spans="1:3" x14ac:dyDescent="0.25">
      <c r="A134" s="9"/>
      <c r="B134" s="10"/>
      <c r="C134" s="11"/>
    </row>
  </sheetData>
  <autoFilter ref="A1:M110" xr:uid="{1FB805D9-09E9-4D0C-90A3-1CC8C4A90029}"/>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BD5F-D98B-4614-BF9D-05FF173DEC5B}">
  <dimension ref="A3:B14"/>
  <sheetViews>
    <sheetView workbookViewId="0">
      <selection activeCell="B7" sqref="B7"/>
    </sheetView>
  </sheetViews>
  <sheetFormatPr defaultRowHeight="15" x14ac:dyDescent="0.25"/>
  <cols>
    <col min="1" max="1" width="69.85546875" bestFit="1" customWidth="1"/>
    <col min="2" max="2" width="20.140625" bestFit="1" customWidth="1"/>
  </cols>
  <sheetData>
    <row r="3" spans="1:2" x14ac:dyDescent="0.25">
      <c r="A3" s="12" t="s">
        <v>324</v>
      </c>
      <c r="B3" t="s">
        <v>326</v>
      </c>
    </row>
    <row r="4" spans="1:2" x14ac:dyDescent="0.25">
      <c r="A4" s="13" t="s">
        <v>119</v>
      </c>
      <c r="B4">
        <v>5</v>
      </c>
    </row>
    <row r="5" spans="1:2" x14ac:dyDescent="0.25">
      <c r="A5" s="13" t="s">
        <v>62</v>
      </c>
      <c r="B5">
        <v>5</v>
      </c>
    </row>
    <row r="6" spans="1:2" x14ac:dyDescent="0.25">
      <c r="A6" s="13" t="s">
        <v>287</v>
      </c>
      <c r="B6">
        <v>5</v>
      </c>
    </row>
    <row r="7" spans="1:2" x14ac:dyDescent="0.25">
      <c r="A7" s="13" t="s">
        <v>55</v>
      </c>
      <c r="B7">
        <v>5</v>
      </c>
    </row>
    <row r="8" spans="1:2" x14ac:dyDescent="0.25">
      <c r="A8" s="13" t="s">
        <v>59</v>
      </c>
      <c r="B8">
        <v>5</v>
      </c>
    </row>
    <row r="9" spans="1:2" x14ac:dyDescent="0.25">
      <c r="A9" s="13" t="s">
        <v>240</v>
      </c>
      <c r="B9">
        <v>5</v>
      </c>
    </row>
    <row r="10" spans="1:2" x14ac:dyDescent="0.25">
      <c r="A10" s="13" t="s">
        <v>116</v>
      </c>
      <c r="B10">
        <v>5</v>
      </c>
    </row>
    <row r="11" spans="1:2" x14ac:dyDescent="0.25">
      <c r="A11" s="13" t="s">
        <v>34</v>
      </c>
      <c r="B11">
        <v>4.8</v>
      </c>
    </row>
    <row r="12" spans="1:2" x14ac:dyDescent="0.25">
      <c r="A12" s="13" t="s">
        <v>21</v>
      </c>
      <c r="B12">
        <v>4.8</v>
      </c>
    </row>
    <row r="13" spans="1:2" x14ac:dyDescent="0.25">
      <c r="A13" s="13" t="s">
        <v>46</v>
      </c>
      <c r="B13">
        <v>4.8</v>
      </c>
    </row>
    <row r="14" spans="1:2" x14ac:dyDescent="0.25">
      <c r="A14" s="13" t="s">
        <v>325</v>
      </c>
      <c r="B14">
        <v>4.9399999999999995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C9D0-2705-45FD-985E-B4E631318364}">
  <dimension ref="A3:B14"/>
  <sheetViews>
    <sheetView workbookViewId="0">
      <selection activeCell="G20" sqref="G20"/>
    </sheetView>
  </sheetViews>
  <sheetFormatPr defaultRowHeight="15" x14ac:dyDescent="0.25"/>
  <cols>
    <col min="1" max="1" width="66" bestFit="1" customWidth="1"/>
    <col min="2" max="2" width="18.7109375" bestFit="1" customWidth="1"/>
  </cols>
  <sheetData>
    <row r="3" spans="1:2" x14ac:dyDescent="0.25">
      <c r="A3" s="12" t="s">
        <v>324</v>
      </c>
      <c r="B3" t="s">
        <v>327</v>
      </c>
    </row>
    <row r="4" spans="1:2" x14ac:dyDescent="0.25">
      <c r="A4" s="13" t="s">
        <v>189</v>
      </c>
      <c r="B4">
        <v>69</v>
      </c>
    </row>
    <row r="5" spans="1:2" x14ac:dyDescent="0.25">
      <c r="A5" s="13" t="s">
        <v>29</v>
      </c>
      <c r="B5">
        <v>55</v>
      </c>
    </row>
    <row r="6" spans="1:2" x14ac:dyDescent="0.25">
      <c r="A6" s="13" t="s">
        <v>88</v>
      </c>
      <c r="B6">
        <v>49</v>
      </c>
    </row>
    <row r="7" spans="1:2" x14ac:dyDescent="0.25">
      <c r="A7" s="13" t="s">
        <v>67</v>
      </c>
      <c r="B7">
        <v>44</v>
      </c>
    </row>
    <row r="8" spans="1:2" x14ac:dyDescent="0.25">
      <c r="A8" s="13" t="s">
        <v>43</v>
      </c>
      <c r="B8">
        <v>39</v>
      </c>
    </row>
    <row r="9" spans="1:2" x14ac:dyDescent="0.25">
      <c r="A9" s="13" t="s">
        <v>121</v>
      </c>
      <c r="B9">
        <v>36</v>
      </c>
    </row>
    <row r="10" spans="1:2" x14ac:dyDescent="0.25">
      <c r="A10" s="13" t="s">
        <v>113</v>
      </c>
      <c r="B10">
        <v>32</v>
      </c>
    </row>
    <row r="11" spans="1:2" x14ac:dyDescent="0.25">
      <c r="A11" s="13" t="s">
        <v>13</v>
      </c>
      <c r="B11">
        <v>24</v>
      </c>
    </row>
    <row r="12" spans="1:2" x14ac:dyDescent="0.25">
      <c r="A12" s="13" t="s">
        <v>110</v>
      </c>
      <c r="B12">
        <v>20</v>
      </c>
    </row>
    <row r="13" spans="1:2" x14ac:dyDescent="0.25">
      <c r="A13" s="13" t="s">
        <v>96</v>
      </c>
      <c r="B13">
        <v>20</v>
      </c>
    </row>
    <row r="14" spans="1:2" x14ac:dyDescent="0.25">
      <c r="A14" s="13" t="s">
        <v>325</v>
      </c>
      <c r="B14">
        <v>38.799999999999997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94BA-CF90-4B82-AFE9-9CD9A753CDFA}">
  <dimension ref="A3:B14"/>
  <sheetViews>
    <sheetView workbookViewId="0">
      <selection activeCell="B10" sqref="B10"/>
    </sheetView>
  </sheetViews>
  <sheetFormatPr defaultRowHeight="15" x14ac:dyDescent="0.25"/>
  <cols>
    <col min="1" max="1" width="74" bestFit="1" customWidth="1"/>
    <col min="2" max="2" width="15.42578125" bestFit="1" customWidth="1"/>
  </cols>
  <sheetData>
    <row r="3" spans="1:2" x14ac:dyDescent="0.25">
      <c r="A3" s="12" t="s">
        <v>324</v>
      </c>
      <c r="B3" t="s">
        <v>328</v>
      </c>
    </row>
    <row r="4" spans="1:2" x14ac:dyDescent="0.25">
      <c r="A4" s="13" t="s">
        <v>308</v>
      </c>
      <c r="B4" s="1">
        <v>0.64</v>
      </c>
    </row>
    <row r="5" spans="1:2" x14ac:dyDescent="0.25">
      <c r="A5" s="13" t="s">
        <v>151</v>
      </c>
      <c r="B5" s="1">
        <v>0.61</v>
      </c>
    </row>
    <row r="6" spans="1:2" x14ac:dyDescent="0.25">
      <c r="A6" s="13" t="s">
        <v>34</v>
      </c>
      <c r="B6" s="1">
        <v>0.55000000000000004</v>
      </c>
    </row>
    <row r="7" spans="1:2" x14ac:dyDescent="0.25">
      <c r="A7" s="13" t="s">
        <v>185</v>
      </c>
      <c r="B7" s="1">
        <v>0.55000000000000004</v>
      </c>
    </row>
    <row r="8" spans="1:2" x14ac:dyDescent="0.25">
      <c r="A8" s="13" t="s">
        <v>84</v>
      </c>
      <c r="B8" s="1">
        <v>0.54</v>
      </c>
    </row>
    <row r="9" spans="1:2" x14ac:dyDescent="0.25">
      <c r="A9" s="13" t="s">
        <v>181</v>
      </c>
      <c r="B9" s="1">
        <v>0.54</v>
      </c>
    </row>
    <row r="10" spans="1:2" x14ac:dyDescent="0.25">
      <c r="A10" s="13" t="s">
        <v>119</v>
      </c>
      <c r="B10" s="1">
        <v>0.53</v>
      </c>
    </row>
    <row r="11" spans="1:2" x14ac:dyDescent="0.25">
      <c r="A11" s="13" t="s">
        <v>70</v>
      </c>
      <c r="B11" s="1">
        <v>0.53</v>
      </c>
    </row>
    <row r="12" spans="1:2" x14ac:dyDescent="0.25">
      <c r="A12" s="13" t="s">
        <v>193</v>
      </c>
      <c r="B12" s="1">
        <v>0.52</v>
      </c>
    </row>
    <row r="13" spans="1:2" x14ac:dyDescent="0.25">
      <c r="A13" s="13" t="s">
        <v>101</v>
      </c>
      <c r="B13" s="1">
        <v>0.52</v>
      </c>
    </row>
    <row r="14" spans="1:2" x14ac:dyDescent="0.25">
      <c r="A14" s="13" t="s">
        <v>325</v>
      </c>
      <c r="B14" s="1">
        <v>5.5299999999999994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B922-DDAF-439F-8DC7-AA863AA56CDF}">
  <dimension ref="A3:B8"/>
  <sheetViews>
    <sheetView workbookViewId="0">
      <selection activeCell="B4" sqref="B4"/>
    </sheetView>
  </sheetViews>
  <sheetFormatPr defaultRowHeight="15" x14ac:dyDescent="0.25"/>
  <cols>
    <col min="1" max="1" width="13.140625" bestFit="1" customWidth="1"/>
    <col min="2" max="2" width="16" bestFit="1" customWidth="1"/>
  </cols>
  <sheetData>
    <row r="3" spans="1:2" x14ac:dyDescent="0.25">
      <c r="A3" s="12" t="s">
        <v>324</v>
      </c>
      <c r="B3" t="s">
        <v>332</v>
      </c>
    </row>
    <row r="4" spans="1:2" x14ac:dyDescent="0.25">
      <c r="A4" s="13"/>
      <c r="B4">
        <v>52</v>
      </c>
    </row>
    <row r="5" spans="1:2" x14ac:dyDescent="0.25">
      <c r="A5" s="13" t="s">
        <v>329</v>
      </c>
      <c r="B5">
        <v>22</v>
      </c>
    </row>
    <row r="6" spans="1:2" x14ac:dyDescent="0.25">
      <c r="A6" s="13" t="s">
        <v>330</v>
      </c>
      <c r="B6">
        <v>23</v>
      </c>
    </row>
    <row r="7" spans="1:2" x14ac:dyDescent="0.25">
      <c r="A7" s="13" t="s">
        <v>331</v>
      </c>
      <c r="B7">
        <v>12</v>
      </c>
    </row>
    <row r="8" spans="1:2" x14ac:dyDescent="0.25">
      <c r="A8" s="13" t="s">
        <v>325</v>
      </c>
      <c r="B8">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4790E-67D7-4EF6-835E-AEEDE6ADF327}">
  <dimension ref="A3:B7"/>
  <sheetViews>
    <sheetView workbookViewId="0">
      <selection activeCell="B5" sqref="B5"/>
    </sheetView>
  </sheetViews>
  <sheetFormatPr defaultRowHeight="15" x14ac:dyDescent="0.25"/>
  <cols>
    <col min="1" max="1" width="13.140625" bestFit="1" customWidth="1"/>
    <col min="2" max="2" width="16" bestFit="1" customWidth="1"/>
  </cols>
  <sheetData>
    <row r="3" spans="1:2" x14ac:dyDescent="0.25">
      <c r="A3" s="12" t="s">
        <v>324</v>
      </c>
      <c r="B3" t="s">
        <v>332</v>
      </c>
    </row>
    <row r="4" spans="1:2" x14ac:dyDescent="0.25">
      <c r="A4" s="13" t="s">
        <v>334</v>
      </c>
      <c r="B4" s="16">
        <v>58</v>
      </c>
    </row>
    <row r="5" spans="1:2" x14ac:dyDescent="0.25">
      <c r="A5" s="13" t="s">
        <v>335</v>
      </c>
      <c r="B5" s="16">
        <v>18</v>
      </c>
    </row>
    <row r="6" spans="1:2" x14ac:dyDescent="0.25">
      <c r="A6" s="13" t="s">
        <v>342</v>
      </c>
      <c r="B6" s="16">
        <v>32</v>
      </c>
    </row>
    <row r="7" spans="1:2" x14ac:dyDescent="0.25">
      <c r="A7" s="13" t="s">
        <v>325</v>
      </c>
      <c r="B7" s="16">
        <v>108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F23A8-F648-4E12-B422-616A8B75D7B4}">
  <dimension ref="A3:A9"/>
  <sheetViews>
    <sheetView workbookViewId="0">
      <selection activeCell="I14" sqref="I14"/>
    </sheetView>
  </sheetViews>
  <sheetFormatPr defaultRowHeight="15" x14ac:dyDescent="0.25"/>
  <cols>
    <col min="1" max="1" width="21" bestFit="1" customWidth="1"/>
  </cols>
  <sheetData>
    <row r="3" spans="1:1" x14ac:dyDescent="0.25">
      <c r="A3" s="12" t="s">
        <v>324</v>
      </c>
    </row>
    <row r="4" spans="1:1" x14ac:dyDescent="0.25">
      <c r="A4" s="13" t="s">
        <v>337</v>
      </c>
    </row>
    <row r="5" spans="1:1" x14ac:dyDescent="0.25">
      <c r="A5" s="13" t="s">
        <v>338</v>
      </c>
    </row>
    <row r="6" spans="1:1" x14ac:dyDescent="0.25">
      <c r="A6" s="13" t="s">
        <v>339</v>
      </c>
    </row>
    <row r="7" spans="1:1" x14ac:dyDescent="0.25">
      <c r="A7" s="13" t="s">
        <v>340</v>
      </c>
    </row>
    <row r="8" spans="1:1" x14ac:dyDescent="0.25">
      <c r="A8" s="13" t="s">
        <v>341</v>
      </c>
    </row>
    <row r="9" spans="1:1" x14ac:dyDescent="0.25">
      <c r="A9" s="13" t="s">
        <v>325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Excel_jumia_dataset</vt:lpstr>
      <vt:lpstr>Prct Rating</vt:lpstr>
      <vt:lpstr>Prct Review</vt:lpstr>
      <vt:lpstr>Prct Disc</vt:lpstr>
      <vt:lpstr>Rating Cat</vt:lpstr>
      <vt:lpstr>Pdrct Disc</vt:lpstr>
      <vt:lpstr>Prod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Alex Murithi</cp:lastModifiedBy>
  <dcterms:created xsi:type="dcterms:W3CDTF">2026-06-13T12:38:15Z</dcterms:created>
  <dcterms:modified xsi:type="dcterms:W3CDTF">2026-06-14T13:40:30Z</dcterms:modified>
</cp:coreProperties>
</file>